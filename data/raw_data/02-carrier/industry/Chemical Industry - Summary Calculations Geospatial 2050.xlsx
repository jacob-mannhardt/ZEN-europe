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pao\Documents\01 - Papers and Conferences\00 - Working\Net-zero chemical industry\Calculations\"/>
    </mc:Choice>
  </mc:AlternateContent>
  <xr:revisionPtr revIDLastSave="0" documentId="8_{4FF49526-E4A1-43AA-A6A5-11981411D9D6}" xr6:coauthVersionLast="36" xr6:coauthVersionMax="36" xr10:uidLastSave="{00000000-0000-0000-0000-000000000000}"/>
  <bookViews>
    <workbookView xWindow="0" yWindow="0" windowWidth="23040" windowHeight="9204" xr2:uid="{94F7783A-6D36-4DF3-9FD7-F8B48E0AB9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U4" i="1"/>
  <c r="V4" i="1"/>
  <c r="W4" i="1"/>
  <c r="X4" i="1"/>
  <c r="Y4" i="1"/>
  <c r="Z4" i="1"/>
  <c r="AA4" i="1"/>
  <c r="T5" i="1"/>
  <c r="U5" i="1"/>
  <c r="V5" i="1"/>
  <c r="W5" i="1"/>
  <c r="X5" i="1"/>
  <c r="Y5" i="1"/>
  <c r="Z5" i="1"/>
  <c r="AA5" i="1"/>
  <c r="T6" i="1"/>
  <c r="U6" i="1"/>
  <c r="V6" i="1"/>
  <c r="W6" i="1"/>
  <c r="X6" i="1"/>
  <c r="Y6" i="1"/>
  <c r="Z6" i="1"/>
  <c r="AA6" i="1"/>
  <c r="T7" i="1"/>
  <c r="U7" i="1"/>
  <c r="V7" i="1"/>
  <c r="W7" i="1"/>
  <c r="X7" i="1"/>
  <c r="Y7" i="1"/>
  <c r="Z7" i="1"/>
  <c r="AA7" i="1"/>
  <c r="T8" i="1"/>
  <c r="U8" i="1"/>
  <c r="V8" i="1"/>
  <c r="W8" i="1"/>
  <c r="X8" i="1"/>
  <c r="Y8" i="1"/>
  <c r="Z8" i="1"/>
  <c r="AA8" i="1"/>
  <c r="T9" i="1"/>
  <c r="U9" i="1"/>
  <c r="V9" i="1"/>
  <c r="W9" i="1"/>
  <c r="X9" i="1"/>
  <c r="Y9" i="1"/>
  <c r="Z9" i="1"/>
  <c r="AA9" i="1"/>
  <c r="T10" i="1"/>
  <c r="U10" i="1"/>
  <c r="V10" i="1"/>
  <c r="W10" i="1"/>
  <c r="X10" i="1"/>
  <c r="Y10" i="1"/>
  <c r="Z10" i="1"/>
  <c r="AA10" i="1"/>
  <c r="T11" i="1"/>
  <c r="U11" i="1"/>
  <c r="V11" i="1"/>
  <c r="W11" i="1"/>
  <c r="X11" i="1"/>
  <c r="Y11" i="1"/>
  <c r="Z11" i="1"/>
  <c r="AA11" i="1"/>
  <c r="T12" i="1"/>
  <c r="U12" i="1"/>
  <c r="V12" i="1"/>
  <c r="W12" i="1"/>
  <c r="X12" i="1"/>
  <c r="Y12" i="1"/>
  <c r="Z12" i="1"/>
  <c r="AA12" i="1"/>
  <c r="T13" i="1"/>
  <c r="U13" i="1"/>
  <c r="V13" i="1"/>
  <c r="W13" i="1"/>
  <c r="X13" i="1"/>
  <c r="Y13" i="1"/>
  <c r="Z13" i="1"/>
  <c r="AA13" i="1"/>
  <c r="T14" i="1"/>
  <c r="U14" i="1"/>
  <c r="V14" i="1"/>
  <c r="W14" i="1"/>
  <c r="X14" i="1"/>
  <c r="Y14" i="1"/>
  <c r="Z14" i="1"/>
  <c r="AA14" i="1"/>
  <c r="T15" i="1"/>
  <c r="U15" i="1"/>
  <c r="V15" i="1"/>
  <c r="W15" i="1"/>
  <c r="X15" i="1"/>
  <c r="Y15" i="1"/>
  <c r="Z15" i="1"/>
  <c r="AA15" i="1"/>
  <c r="T16" i="1"/>
  <c r="U16" i="1"/>
  <c r="V16" i="1"/>
  <c r="W16" i="1"/>
  <c r="X16" i="1"/>
  <c r="Y16" i="1"/>
  <c r="Z16" i="1"/>
  <c r="AA16" i="1"/>
  <c r="T17" i="1"/>
  <c r="U17" i="1"/>
  <c r="V17" i="1"/>
  <c r="W17" i="1"/>
  <c r="X17" i="1"/>
  <c r="Y17" i="1"/>
  <c r="Z17" i="1"/>
  <c r="AA17" i="1"/>
  <c r="T18" i="1"/>
  <c r="U18" i="1"/>
  <c r="V18" i="1"/>
  <c r="W18" i="1"/>
  <c r="X18" i="1"/>
  <c r="Y18" i="1"/>
  <c r="Z18" i="1"/>
  <c r="AA18" i="1"/>
  <c r="T19" i="1"/>
  <c r="U19" i="1"/>
  <c r="V19" i="1"/>
  <c r="W19" i="1"/>
  <c r="X19" i="1"/>
  <c r="Y19" i="1"/>
  <c r="Z19" i="1"/>
  <c r="AA19" i="1"/>
  <c r="T20" i="1"/>
  <c r="U20" i="1"/>
  <c r="V20" i="1"/>
  <c r="W20" i="1"/>
  <c r="X20" i="1"/>
  <c r="Y20" i="1"/>
  <c r="Z20" i="1"/>
  <c r="AA20" i="1"/>
  <c r="T21" i="1"/>
  <c r="U21" i="1"/>
  <c r="V21" i="1"/>
  <c r="W21" i="1"/>
  <c r="X21" i="1"/>
  <c r="Y21" i="1"/>
  <c r="Z21" i="1"/>
  <c r="AA21" i="1"/>
  <c r="T22" i="1"/>
  <c r="U22" i="1"/>
  <c r="V22" i="1"/>
  <c r="W22" i="1"/>
  <c r="X22" i="1"/>
  <c r="Y22" i="1"/>
  <c r="Z22" i="1"/>
  <c r="AA22" i="1"/>
  <c r="T23" i="1"/>
  <c r="U23" i="1"/>
  <c r="V23" i="1"/>
  <c r="W23" i="1"/>
  <c r="X23" i="1"/>
  <c r="Y23" i="1"/>
  <c r="Z23" i="1"/>
  <c r="AA23" i="1"/>
  <c r="T24" i="1"/>
  <c r="U24" i="1"/>
  <c r="V24" i="1"/>
  <c r="W24" i="1"/>
  <c r="X24" i="1"/>
  <c r="Y24" i="1"/>
  <c r="Z24" i="1"/>
  <c r="AA24" i="1"/>
  <c r="T25" i="1"/>
  <c r="U25" i="1"/>
  <c r="V25" i="1"/>
  <c r="W25" i="1"/>
  <c r="X25" i="1"/>
  <c r="Y25" i="1"/>
  <c r="Z25" i="1"/>
  <c r="AA25" i="1"/>
  <c r="T26" i="1"/>
  <c r="U26" i="1"/>
  <c r="V26" i="1"/>
  <c r="W26" i="1"/>
  <c r="X26" i="1"/>
  <c r="Y26" i="1"/>
  <c r="Z26" i="1"/>
  <c r="AA26" i="1"/>
  <c r="T27" i="1"/>
  <c r="U27" i="1"/>
  <c r="V27" i="1"/>
  <c r="W27" i="1"/>
  <c r="X27" i="1"/>
  <c r="Y27" i="1"/>
  <c r="Z27" i="1"/>
  <c r="AA27" i="1"/>
  <c r="T28" i="1"/>
  <c r="U28" i="1"/>
  <c r="V28" i="1"/>
  <c r="W28" i="1"/>
  <c r="X28" i="1"/>
  <c r="Y28" i="1"/>
  <c r="Z28" i="1"/>
  <c r="AA28" i="1"/>
  <c r="T29" i="1"/>
  <c r="U29" i="1"/>
  <c r="V29" i="1"/>
  <c r="W29" i="1"/>
  <c r="X29" i="1"/>
  <c r="Y29" i="1"/>
  <c r="Z29" i="1"/>
  <c r="AA29" i="1"/>
  <c r="T30" i="1"/>
  <c r="U30" i="1"/>
  <c r="V30" i="1"/>
  <c r="W30" i="1"/>
  <c r="X30" i="1"/>
  <c r="Y30" i="1"/>
  <c r="Z30" i="1"/>
  <c r="AA30" i="1"/>
  <c r="T31" i="1"/>
  <c r="U31" i="1"/>
  <c r="V31" i="1"/>
  <c r="W31" i="1"/>
  <c r="X31" i="1"/>
  <c r="Y31" i="1"/>
  <c r="Z31" i="1"/>
  <c r="AA31" i="1"/>
  <c r="T32" i="1"/>
  <c r="U32" i="1"/>
  <c r="V32" i="1"/>
  <c r="W32" i="1"/>
  <c r="X32" i="1"/>
  <c r="Y32" i="1"/>
  <c r="Z32" i="1"/>
  <c r="AA32" i="1"/>
  <c r="T33" i="1"/>
  <c r="U33" i="1"/>
  <c r="V33" i="1"/>
  <c r="W33" i="1"/>
  <c r="X33" i="1"/>
  <c r="Y33" i="1"/>
  <c r="Z33" i="1"/>
  <c r="AA33" i="1"/>
  <c r="T34" i="1"/>
  <c r="U34" i="1"/>
  <c r="V34" i="1"/>
  <c r="W34" i="1"/>
  <c r="X34" i="1"/>
  <c r="Y34" i="1"/>
  <c r="Z34" i="1"/>
  <c r="AA34" i="1"/>
  <c r="T35" i="1"/>
  <c r="U35" i="1"/>
  <c r="V35" i="1"/>
  <c r="W35" i="1"/>
  <c r="X35" i="1"/>
  <c r="Y35" i="1"/>
  <c r="Z35" i="1"/>
  <c r="AA35" i="1"/>
  <c r="T36" i="1"/>
  <c r="U36" i="1"/>
  <c r="V36" i="1"/>
  <c r="W36" i="1"/>
  <c r="X36" i="1"/>
  <c r="Y36" i="1"/>
  <c r="Z36" i="1"/>
  <c r="AA36" i="1"/>
  <c r="T37" i="1"/>
  <c r="U37" i="1"/>
  <c r="V37" i="1"/>
  <c r="W37" i="1"/>
  <c r="X37" i="1"/>
  <c r="Y37" i="1"/>
  <c r="Z37" i="1"/>
  <c r="AA37" i="1"/>
  <c r="T38" i="1"/>
  <c r="U38" i="1"/>
  <c r="V38" i="1"/>
  <c r="W38" i="1"/>
  <c r="X38" i="1"/>
  <c r="Y38" i="1"/>
  <c r="Z38" i="1"/>
  <c r="AA38" i="1"/>
  <c r="T39" i="1"/>
  <c r="U39" i="1"/>
  <c r="V39" i="1"/>
  <c r="W39" i="1"/>
  <c r="X39" i="1"/>
  <c r="Y39" i="1"/>
  <c r="Z39" i="1"/>
  <c r="AA39" i="1"/>
  <c r="T40" i="1"/>
  <c r="U40" i="1"/>
  <c r="V40" i="1"/>
  <c r="W40" i="1"/>
  <c r="X40" i="1"/>
  <c r="Y40" i="1"/>
  <c r="Z40" i="1"/>
  <c r="AA40" i="1"/>
  <c r="T41" i="1"/>
  <c r="U41" i="1"/>
  <c r="V41" i="1"/>
  <c r="W41" i="1"/>
  <c r="X41" i="1"/>
  <c r="Y41" i="1"/>
  <c r="Z41" i="1"/>
  <c r="AA41" i="1"/>
  <c r="T42" i="1"/>
  <c r="U42" i="1"/>
  <c r="V42" i="1"/>
  <c r="W42" i="1"/>
  <c r="X42" i="1"/>
  <c r="Y42" i="1"/>
  <c r="Z42" i="1"/>
  <c r="AA42" i="1"/>
  <c r="T43" i="1"/>
  <c r="U43" i="1"/>
  <c r="V43" i="1"/>
  <c r="W43" i="1"/>
  <c r="X43" i="1"/>
  <c r="Y43" i="1"/>
  <c r="Z43" i="1"/>
  <c r="AA43" i="1"/>
  <c r="T44" i="1"/>
  <c r="U44" i="1"/>
  <c r="V44" i="1"/>
  <c r="W44" i="1"/>
  <c r="X44" i="1"/>
  <c r="Y44" i="1"/>
  <c r="Z44" i="1"/>
  <c r="AA44" i="1"/>
  <c r="T45" i="1"/>
  <c r="U45" i="1"/>
  <c r="V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T80" i="1"/>
  <c r="U80" i="1"/>
  <c r="V80" i="1"/>
  <c r="W80" i="1"/>
  <c r="X80" i="1"/>
  <c r="Y80" i="1"/>
  <c r="Z80" i="1"/>
  <c r="AA80" i="1"/>
  <c r="T81" i="1"/>
  <c r="U81" i="1"/>
  <c r="V81" i="1"/>
  <c r="W81" i="1"/>
  <c r="X81" i="1"/>
  <c r="Y81" i="1"/>
  <c r="Z81" i="1"/>
  <c r="AA81" i="1"/>
  <c r="T82" i="1"/>
  <c r="U82" i="1"/>
  <c r="V82" i="1"/>
  <c r="W82" i="1"/>
  <c r="X82" i="1"/>
  <c r="Y82" i="1"/>
  <c r="Z82" i="1"/>
  <c r="AA82" i="1"/>
  <c r="T83" i="1"/>
  <c r="U83" i="1"/>
  <c r="V83" i="1"/>
  <c r="W83" i="1"/>
  <c r="X83" i="1"/>
  <c r="Y83" i="1"/>
  <c r="Z83" i="1"/>
  <c r="AA83" i="1"/>
  <c r="T84" i="1"/>
  <c r="U84" i="1"/>
  <c r="V84" i="1"/>
  <c r="W84" i="1"/>
  <c r="X84" i="1"/>
  <c r="Y84" i="1"/>
  <c r="Z84" i="1"/>
  <c r="AA84" i="1"/>
  <c r="T85" i="1"/>
  <c r="U85" i="1"/>
  <c r="V85" i="1"/>
  <c r="W85" i="1"/>
  <c r="X85" i="1"/>
  <c r="Y85" i="1"/>
  <c r="Z85" i="1"/>
  <c r="AA85" i="1"/>
  <c r="T86" i="1"/>
  <c r="U86" i="1"/>
  <c r="V86" i="1"/>
  <c r="W86" i="1"/>
  <c r="X86" i="1"/>
  <c r="Y86" i="1"/>
  <c r="Z86" i="1"/>
  <c r="AA86" i="1"/>
  <c r="T87" i="1"/>
  <c r="U87" i="1"/>
  <c r="V87" i="1"/>
  <c r="W87" i="1"/>
  <c r="X87" i="1"/>
  <c r="Y87" i="1"/>
  <c r="Z87" i="1"/>
  <c r="AA87" i="1"/>
  <c r="T88" i="1"/>
  <c r="U88" i="1"/>
  <c r="V88" i="1"/>
  <c r="W88" i="1"/>
  <c r="X88" i="1"/>
  <c r="Y88" i="1"/>
  <c r="Z88" i="1"/>
  <c r="AA88" i="1"/>
  <c r="T89" i="1"/>
  <c r="U89" i="1"/>
  <c r="V89" i="1"/>
  <c r="W89" i="1"/>
  <c r="X89" i="1"/>
  <c r="Y89" i="1"/>
  <c r="Z89" i="1"/>
  <c r="AA89" i="1"/>
  <c r="T90" i="1"/>
  <c r="U90" i="1"/>
  <c r="V90" i="1"/>
  <c r="W90" i="1"/>
  <c r="X90" i="1"/>
  <c r="Y90" i="1"/>
  <c r="Z90" i="1"/>
  <c r="AA90" i="1"/>
  <c r="T91" i="1"/>
  <c r="U91" i="1"/>
  <c r="V91" i="1"/>
  <c r="W91" i="1"/>
  <c r="X91" i="1"/>
  <c r="Y91" i="1"/>
  <c r="Z91" i="1"/>
  <c r="AA91" i="1"/>
  <c r="T92" i="1"/>
  <c r="U92" i="1"/>
  <c r="V92" i="1"/>
  <c r="W92" i="1"/>
  <c r="X92" i="1"/>
  <c r="Y92" i="1"/>
  <c r="Z92" i="1"/>
  <c r="AA92" i="1"/>
  <c r="T93" i="1"/>
  <c r="U93" i="1"/>
  <c r="V93" i="1"/>
  <c r="W93" i="1"/>
  <c r="X93" i="1"/>
  <c r="Y93" i="1"/>
  <c r="Z93" i="1"/>
  <c r="AA93" i="1"/>
  <c r="T94" i="1"/>
  <c r="U94" i="1"/>
  <c r="V94" i="1"/>
  <c r="W94" i="1"/>
  <c r="X94" i="1"/>
  <c r="Y94" i="1"/>
  <c r="Z94" i="1"/>
  <c r="AA94" i="1"/>
  <c r="T95" i="1"/>
  <c r="U95" i="1"/>
  <c r="V95" i="1"/>
  <c r="W95" i="1"/>
  <c r="X95" i="1"/>
  <c r="Y95" i="1"/>
  <c r="Z95" i="1"/>
  <c r="AA95" i="1"/>
  <c r="T96" i="1"/>
  <c r="U96" i="1"/>
  <c r="V96" i="1"/>
  <c r="W96" i="1"/>
  <c r="X96" i="1"/>
  <c r="Y96" i="1"/>
  <c r="Z96" i="1"/>
  <c r="AA96" i="1"/>
  <c r="T97" i="1"/>
  <c r="U97" i="1"/>
  <c r="V97" i="1"/>
  <c r="W97" i="1"/>
  <c r="X97" i="1"/>
  <c r="Y97" i="1"/>
  <c r="Z97" i="1"/>
  <c r="AA97" i="1"/>
  <c r="T98" i="1"/>
  <c r="U98" i="1"/>
  <c r="V98" i="1"/>
  <c r="W98" i="1"/>
  <c r="X98" i="1"/>
  <c r="Y98" i="1"/>
  <c r="Z98" i="1"/>
  <c r="AA98" i="1"/>
  <c r="T99" i="1"/>
  <c r="U99" i="1"/>
  <c r="V99" i="1"/>
  <c r="W99" i="1"/>
  <c r="X99" i="1"/>
  <c r="Y99" i="1"/>
  <c r="Z99" i="1"/>
  <c r="AA99" i="1"/>
  <c r="T100" i="1"/>
  <c r="U100" i="1"/>
  <c r="V100" i="1"/>
  <c r="W100" i="1"/>
  <c r="X100" i="1"/>
  <c r="Y100" i="1"/>
  <c r="Z100" i="1"/>
  <c r="AA100" i="1"/>
  <c r="T101" i="1"/>
  <c r="U101" i="1"/>
  <c r="V101" i="1"/>
  <c r="W101" i="1"/>
  <c r="X101" i="1"/>
  <c r="Y101" i="1"/>
  <c r="Z101" i="1"/>
  <c r="AA101" i="1"/>
  <c r="T102" i="1"/>
  <c r="U102" i="1"/>
  <c r="V102" i="1"/>
  <c r="W102" i="1"/>
  <c r="X102" i="1"/>
  <c r="Y102" i="1"/>
  <c r="Z102" i="1"/>
  <c r="AA102" i="1"/>
  <c r="T103" i="1"/>
  <c r="U103" i="1"/>
  <c r="V103" i="1"/>
  <c r="W103" i="1"/>
  <c r="X103" i="1"/>
  <c r="Y103" i="1"/>
  <c r="Z103" i="1"/>
  <c r="AA103" i="1"/>
  <c r="T104" i="1"/>
  <c r="U104" i="1"/>
  <c r="V104" i="1"/>
  <c r="W104" i="1"/>
  <c r="X104" i="1"/>
  <c r="Y104" i="1"/>
  <c r="Z104" i="1"/>
  <c r="AA104" i="1"/>
  <c r="T105" i="1"/>
  <c r="U105" i="1"/>
  <c r="V105" i="1"/>
  <c r="W105" i="1"/>
  <c r="X105" i="1"/>
  <c r="Y105" i="1"/>
  <c r="Z105" i="1"/>
  <c r="AA105" i="1"/>
  <c r="T106" i="1"/>
  <c r="U106" i="1"/>
  <c r="V106" i="1"/>
  <c r="W106" i="1"/>
  <c r="X106" i="1"/>
  <c r="Y106" i="1"/>
  <c r="Z106" i="1"/>
  <c r="AA106" i="1"/>
  <c r="T107" i="1"/>
  <c r="U107" i="1"/>
  <c r="V107" i="1"/>
  <c r="W107" i="1"/>
  <c r="X107" i="1"/>
  <c r="Y107" i="1"/>
  <c r="Z107" i="1"/>
  <c r="AA107" i="1"/>
  <c r="T108" i="1"/>
  <c r="U108" i="1"/>
  <c r="V108" i="1"/>
  <c r="W108" i="1"/>
  <c r="X108" i="1"/>
  <c r="Y108" i="1"/>
  <c r="Z108" i="1"/>
  <c r="AA108" i="1"/>
  <c r="T109" i="1"/>
  <c r="U109" i="1"/>
  <c r="V109" i="1"/>
  <c r="W109" i="1"/>
  <c r="X109" i="1"/>
  <c r="Y109" i="1"/>
  <c r="Z109" i="1"/>
  <c r="AA109" i="1"/>
  <c r="T110" i="1"/>
  <c r="U110" i="1"/>
  <c r="V110" i="1"/>
  <c r="W110" i="1"/>
  <c r="X110" i="1"/>
  <c r="Y110" i="1"/>
  <c r="Z110" i="1"/>
  <c r="AA110" i="1"/>
  <c r="T111" i="1"/>
  <c r="U111" i="1"/>
  <c r="V111" i="1"/>
  <c r="W111" i="1"/>
  <c r="X111" i="1"/>
  <c r="Y111" i="1"/>
  <c r="Z111" i="1"/>
  <c r="AA111" i="1"/>
  <c r="T112" i="1"/>
  <c r="U112" i="1"/>
  <c r="V112" i="1"/>
  <c r="W112" i="1"/>
  <c r="X112" i="1"/>
  <c r="Y112" i="1"/>
  <c r="Z112" i="1"/>
  <c r="AA112" i="1"/>
  <c r="T113" i="1"/>
  <c r="U113" i="1"/>
  <c r="V113" i="1"/>
  <c r="W113" i="1"/>
  <c r="X113" i="1"/>
  <c r="Y113" i="1"/>
  <c r="Z113" i="1"/>
  <c r="AA113" i="1"/>
  <c r="T114" i="1"/>
  <c r="U114" i="1"/>
  <c r="V114" i="1"/>
  <c r="W114" i="1"/>
  <c r="X114" i="1"/>
  <c r="Y114" i="1"/>
  <c r="Z114" i="1"/>
  <c r="AA114" i="1"/>
  <c r="T115" i="1"/>
  <c r="U115" i="1"/>
  <c r="V115" i="1"/>
  <c r="W115" i="1"/>
  <c r="X115" i="1"/>
  <c r="Y115" i="1"/>
  <c r="Z115" i="1"/>
  <c r="AA115" i="1"/>
  <c r="T116" i="1"/>
  <c r="U116" i="1"/>
  <c r="V116" i="1"/>
  <c r="W116" i="1"/>
  <c r="X116" i="1"/>
  <c r="Y116" i="1"/>
  <c r="Z116" i="1"/>
  <c r="AA116" i="1"/>
  <c r="T117" i="1"/>
  <c r="U117" i="1"/>
  <c r="V117" i="1"/>
  <c r="W117" i="1"/>
  <c r="X117" i="1"/>
  <c r="Y117" i="1"/>
  <c r="Z117" i="1"/>
  <c r="AA117" i="1"/>
  <c r="T118" i="1"/>
  <c r="U118" i="1"/>
  <c r="V118" i="1"/>
  <c r="W118" i="1"/>
  <c r="X118" i="1"/>
  <c r="Y118" i="1"/>
  <c r="Z118" i="1"/>
  <c r="AA118" i="1"/>
  <c r="T119" i="1"/>
  <c r="U119" i="1"/>
  <c r="V119" i="1"/>
  <c r="W119" i="1"/>
  <c r="X119" i="1"/>
  <c r="Y119" i="1"/>
  <c r="Z119" i="1"/>
  <c r="AA119" i="1"/>
  <c r="T120" i="1"/>
  <c r="U120" i="1"/>
  <c r="V120" i="1"/>
  <c r="W120" i="1"/>
  <c r="X120" i="1"/>
  <c r="Y120" i="1"/>
  <c r="Z120" i="1"/>
  <c r="AA120" i="1"/>
  <c r="T121" i="1"/>
  <c r="U121" i="1"/>
  <c r="V121" i="1"/>
  <c r="W121" i="1"/>
  <c r="X121" i="1"/>
  <c r="Y121" i="1"/>
  <c r="Z121" i="1"/>
  <c r="AA121" i="1"/>
  <c r="T122" i="1"/>
  <c r="U122" i="1"/>
  <c r="V122" i="1"/>
  <c r="W122" i="1"/>
  <c r="X122" i="1"/>
  <c r="Y122" i="1"/>
  <c r="Z122" i="1"/>
  <c r="AA122" i="1"/>
  <c r="T123" i="1"/>
  <c r="U123" i="1"/>
  <c r="V123" i="1"/>
  <c r="W123" i="1"/>
  <c r="X123" i="1"/>
  <c r="Y123" i="1"/>
  <c r="Z123" i="1"/>
  <c r="AA123" i="1"/>
  <c r="T124" i="1"/>
  <c r="U124" i="1"/>
  <c r="V124" i="1"/>
  <c r="W124" i="1"/>
  <c r="X124" i="1"/>
  <c r="Y124" i="1"/>
  <c r="Z124" i="1"/>
  <c r="AA124" i="1"/>
  <c r="T125" i="1"/>
  <c r="U125" i="1"/>
  <c r="V125" i="1"/>
  <c r="W125" i="1"/>
  <c r="X125" i="1"/>
  <c r="Y125" i="1"/>
  <c r="Z125" i="1"/>
  <c r="AA125" i="1"/>
  <c r="T126" i="1"/>
  <c r="U126" i="1"/>
  <c r="V126" i="1"/>
  <c r="W126" i="1"/>
  <c r="X126" i="1"/>
  <c r="Y126" i="1"/>
  <c r="Z126" i="1"/>
  <c r="AA126" i="1"/>
  <c r="T127" i="1"/>
  <c r="U127" i="1"/>
  <c r="V127" i="1"/>
  <c r="W127" i="1"/>
  <c r="X127" i="1"/>
  <c r="Y127" i="1"/>
  <c r="Z127" i="1"/>
  <c r="AA127" i="1"/>
  <c r="T128" i="1"/>
  <c r="U128" i="1"/>
  <c r="V128" i="1"/>
  <c r="W128" i="1"/>
  <c r="X128" i="1"/>
  <c r="Y128" i="1"/>
  <c r="Z128" i="1"/>
  <c r="AA128" i="1"/>
  <c r="T129" i="1"/>
  <c r="U129" i="1"/>
  <c r="V129" i="1"/>
  <c r="W129" i="1"/>
  <c r="X129" i="1"/>
  <c r="Y129" i="1"/>
  <c r="Z129" i="1"/>
  <c r="AA129" i="1"/>
  <c r="T130" i="1"/>
  <c r="U130" i="1"/>
  <c r="V130" i="1"/>
  <c r="W130" i="1"/>
  <c r="X130" i="1"/>
  <c r="Y130" i="1"/>
  <c r="Z130" i="1"/>
  <c r="AA130" i="1"/>
  <c r="T131" i="1"/>
  <c r="U131" i="1"/>
  <c r="V131" i="1"/>
  <c r="W131" i="1"/>
  <c r="X131" i="1"/>
  <c r="Y131" i="1"/>
  <c r="Z131" i="1"/>
  <c r="AA131" i="1"/>
  <c r="T132" i="1"/>
  <c r="U132" i="1"/>
  <c r="V132" i="1"/>
  <c r="W132" i="1"/>
  <c r="X132" i="1"/>
  <c r="Y132" i="1"/>
  <c r="Z132" i="1"/>
  <c r="AA132" i="1"/>
  <c r="T133" i="1"/>
  <c r="U133" i="1"/>
  <c r="V133" i="1"/>
  <c r="W133" i="1"/>
  <c r="X133" i="1"/>
  <c r="Y133" i="1"/>
  <c r="Z133" i="1"/>
  <c r="AA133" i="1"/>
  <c r="T134" i="1"/>
  <c r="U134" i="1"/>
  <c r="V134" i="1"/>
  <c r="W134" i="1"/>
  <c r="X134" i="1"/>
  <c r="Y134" i="1"/>
  <c r="Z134" i="1"/>
  <c r="AA134" i="1"/>
  <c r="T135" i="1"/>
  <c r="U135" i="1"/>
  <c r="V135" i="1"/>
  <c r="W135" i="1"/>
  <c r="X135" i="1"/>
  <c r="Y135" i="1"/>
  <c r="Z135" i="1"/>
  <c r="AA135" i="1"/>
  <c r="T136" i="1"/>
  <c r="U136" i="1"/>
  <c r="V136" i="1"/>
  <c r="W136" i="1"/>
  <c r="X136" i="1"/>
  <c r="Y136" i="1"/>
  <c r="Z136" i="1"/>
  <c r="AA136" i="1"/>
  <c r="T137" i="1"/>
  <c r="U137" i="1"/>
  <c r="V137" i="1"/>
  <c r="W137" i="1"/>
  <c r="X137" i="1"/>
  <c r="Y137" i="1"/>
  <c r="Z137" i="1"/>
  <c r="AA137" i="1"/>
  <c r="T138" i="1"/>
  <c r="U138" i="1"/>
  <c r="V138" i="1"/>
  <c r="W138" i="1"/>
  <c r="X138" i="1"/>
  <c r="Y138" i="1"/>
  <c r="Z138" i="1"/>
  <c r="AA138" i="1"/>
  <c r="T139" i="1"/>
  <c r="U139" i="1"/>
  <c r="V139" i="1"/>
  <c r="W139" i="1"/>
  <c r="X139" i="1"/>
  <c r="Y139" i="1"/>
  <c r="Z139" i="1"/>
  <c r="AA139" i="1"/>
  <c r="T140" i="1"/>
  <c r="U140" i="1"/>
  <c r="V140" i="1"/>
  <c r="W140" i="1"/>
  <c r="X140" i="1"/>
  <c r="Y140" i="1"/>
  <c r="Z140" i="1"/>
  <c r="AA140" i="1"/>
  <c r="T141" i="1"/>
  <c r="U141" i="1"/>
  <c r="V141" i="1"/>
  <c r="W141" i="1"/>
  <c r="X141" i="1"/>
  <c r="Y141" i="1"/>
  <c r="Z141" i="1"/>
  <c r="AA141" i="1"/>
  <c r="T142" i="1"/>
  <c r="U142" i="1"/>
  <c r="V142" i="1"/>
  <c r="W142" i="1"/>
  <c r="X142" i="1"/>
  <c r="Y142" i="1"/>
  <c r="Z142" i="1"/>
  <c r="AA142" i="1"/>
  <c r="T143" i="1"/>
  <c r="U143" i="1"/>
  <c r="V143" i="1"/>
  <c r="W143" i="1"/>
  <c r="X143" i="1"/>
  <c r="Y143" i="1"/>
  <c r="Z143" i="1"/>
  <c r="AA143" i="1"/>
  <c r="T144" i="1"/>
  <c r="U144" i="1"/>
  <c r="V144" i="1"/>
  <c r="W144" i="1"/>
  <c r="X144" i="1"/>
  <c r="Y144" i="1"/>
  <c r="Z144" i="1"/>
  <c r="AA144" i="1"/>
  <c r="T145" i="1"/>
  <c r="U145" i="1"/>
  <c r="V145" i="1"/>
  <c r="W145" i="1"/>
  <c r="X145" i="1"/>
  <c r="Y145" i="1"/>
  <c r="Z145" i="1"/>
  <c r="AA145" i="1"/>
  <c r="T146" i="1"/>
  <c r="U146" i="1"/>
  <c r="V146" i="1"/>
  <c r="W146" i="1"/>
  <c r="X146" i="1"/>
  <c r="Y146" i="1"/>
  <c r="Z146" i="1"/>
  <c r="AA146" i="1"/>
  <c r="T147" i="1"/>
  <c r="U147" i="1"/>
  <c r="V147" i="1"/>
  <c r="W147" i="1"/>
  <c r="X147" i="1"/>
  <c r="Y147" i="1"/>
  <c r="Z147" i="1"/>
  <c r="AA147" i="1"/>
  <c r="T148" i="1"/>
  <c r="U148" i="1"/>
  <c r="V148" i="1"/>
  <c r="W148" i="1"/>
  <c r="X148" i="1"/>
  <c r="Y148" i="1"/>
  <c r="Z148" i="1"/>
  <c r="AA148" i="1"/>
  <c r="T149" i="1"/>
  <c r="U149" i="1"/>
  <c r="V149" i="1"/>
  <c r="W149" i="1"/>
  <c r="X149" i="1"/>
  <c r="Y149" i="1"/>
  <c r="Z149" i="1"/>
  <c r="AA149" i="1"/>
  <c r="T150" i="1"/>
  <c r="U150" i="1"/>
  <c r="V150" i="1"/>
  <c r="W150" i="1"/>
  <c r="X150" i="1"/>
  <c r="Y150" i="1"/>
  <c r="Z150" i="1"/>
  <c r="AA150" i="1"/>
  <c r="T151" i="1"/>
  <c r="U151" i="1"/>
  <c r="V151" i="1"/>
  <c r="W151" i="1"/>
  <c r="X151" i="1"/>
  <c r="Y151" i="1"/>
  <c r="Z151" i="1"/>
  <c r="AA151" i="1"/>
  <c r="T152" i="1"/>
  <c r="U152" i="1"/>
  <c r="V152" i="1"/>
  <c r="W152" i="1"/>
  <c r="X152" i="1"/>
  <c r="Y152" i="1"/>
  <c r="Z152" i="1"/>
  <c r="AA152" i="1"/>
  <c r="T153" i="1"/>
  <c r="U153" i="1"/>
  <c r="V153" i="1"/>
  <c r="W153" i="1"/>
  <c r="X153" i="1"/>
  <c r="Y153" i="1"/>
  <c r="Z153" i="1"/>
  <c r="AA153" i="1"/>
  <c r="T154" i="1"/>
  <c r="U154" i="1"/>
  <c r="V154" i="1"/>
  <c r="W154" i="1"/>
  <c r="X154" i="1"/>
  <c r="Y154" i="1"/>
  <c r="Z154" i="1"/>
  <c r="AA154" i="1"/>
  <c r="T155" i="1"/>
  <c r="U155" i="1"/>
  <c r="V155" i="1"/>
  <c r="W155" i="1"/>
  <c r="X155" i="1"/>
  <c r="Y155" i="1"/>
  <c r="Z155" i="1"/>
  <c r="AA155" i="1"/>
  <c r="T156" i="1"/>
  <c r="U156" i="1"/>
  <c r="V156" i="1"/>
  <c r="W156" i="1"/>
  <c r="X156" i="1"/>
  <c r="Y156" i="1"/>
  <c r="Z156" i="1"/>
  <c r="AA156" i="1"/>
  <c r="T157" i="1"/>
  <c r="U157" i="1"/>
  <c r="V157" i="1"/>
  <c r="W157" i="1"/>
  <c r="X157" i="1"/>
  <c r="Y157" i="1"/>
  <c r="Z157" i="1"/>
  <c r="AA157" i="1"/>
  <c r="T158" i="1"/>
  <c r="U158" i="1"/>
  <c r="V158" i="1"/>
  <c r="W158" i="1"/>
  <c r="X158" i="1"/>
  <c r="Y158" i="1"/>
  <c r="Z158" i="1"/>
  <c r="AA158" i="1"/>
  <c r="T159" i="1"/>
  <c r="U159" i="1"/>
  <c r="V159" i="1"/>
  <c r="W159" i="1"/>
  <c r="X159" i="1"/>
  <c r="Y159" i="1"/>
  <c r="Z159" i="1"/>
  <c r="AA159" i="1"/>
  <c r="T160" i="1"/>
  <c r="U160" i="1"/>
  <c r="V160" i="1"/>
  <c r="W160" i="1"/>
  <c r="X160" i="1"/>
  <c r="Y160" i="1"/>
  <c r="Z160" i="1"/>
  <c r="AA160" i="1"/>
  <c r="T161" i="1"/>
  <c r="U161" i="1"/>
  <c r="V161" i="1"/>
  <c r="W161" i="1"/>
  <c r="X161" i="1"/>
  <c r="Y161" i="1"/>
  <c r="Z161" i="1"/>
  <c r="AA161" i="1"/>
  <c r="T162" i="1"/>
  <c r="U162" i="1"/>
  <c r="V162" i="1"/>
  <c r="W162" i="1"/>
  <c r="X162" i="1"/>
  <c r="Y162" i="1"/>
  <c r="Z162" i="1"/>
  <c r="AA162" i="1"/>
  <c r="T163" i="1"/>
  <c r="U163" i="1"/>
  <c r="V163" i="1"/>
  <c r="W163" i="1"/>
  <c r="X163" i="1"/>
  <c r="Y163" i="1"/>
  <c r="Z163" i="1"/>
  <c r="AA163" i="1"/>
  <c r="T164" i="1"/>
  <c r="U164" i="1"/>
  <c r="V164" i="1"/>
  <c r="W164" i="1"/>
  <c r="X164" i="1"/>
  <c r="Y164" i="1"/>
  <c r="Z164" i="1"/>
  <c r="AA164" i="1"/>
  <c r="T165" i="1"/>
  <c r="U165" i="1"/>
  <c r="V165" i="1"/>
  <c r="W165" i="1"/>
  <c r="X165" i="1"/>
  <c r="Y165" i="1"/>
  <c r="Z165" i="1"/>
  <c r="AA165" i="1"/>
  <c r="T166" i="1"/>
  <c r="U166" i="1"/>
  <c r="V166" i="1"/>
  <c r="W166" i="1"/>
  <c r="X166" i="1"/>
  <c r="Y166" i="1"/>
  <c r="Z166" i="1"/>
  <c r="AA166" i="1"/>
  <c r="T167" i="1"/>
  <c r="U167" i="1"/>
  <c r="V167" i="1"/>
  <c r="W167" i="1"/>
  <c r="X167" i="1"/>
  <c r="Y167" i="1"/>
  <c r="Z167" i="1"/>
  <c r="AA167" i="1"/>
  <c r="T168" i="1"/>
  <c r="U168" i="1"/>
  <c r="V168" i="1"/>
  <c r="W168" i="1"/>
  <c r="X168" i="1"/>
  <c r="Y168" i="1"/>
  <c r="Z168" i="1"/>
  <c r="AA168" i="1"/>
  <c r="T169" i="1"/>
  <c r="U169" i="1"/>
  <c r="V169" i="1"/>
  <c r="W169" i="1"/>
  <c r="X169" i="1"/>
  <c r="Y169" i="1"/>
  <c r="Z169" i="1"/>
  <c r="AA169" i="1"/>
  <c r="T170" i="1"/>
  <c r="U170" i="1"/>
  <c r="V170" i="1"/>
  <c r="W170" i="1"/>
  <c r="X170" i="1"/>
  <c r="Y170" i="1"/>
  <c r="Z170" i="1"/>
  <c r="AA170" i="1"/>
  <c r="T171" i="1"/>
  <c r="U171" i="1"/>
  <c r="V171" i="1"/>
  <c r="W171" i="1"/>
  <c r="X171" i="1"/>
  <c r="Y171" i="1"/>
  <c r="Z171" i="1"/>
  <c r="AA171" i="1"/>
  <c r="T172" i="1"/>
  <c r="U172" i="1"/>
  <c r="V172" i="1"/>
  <c r="W172" i="1"/>
  <c r="X172" i="1"/>
  <c r="Y172" i="1"/>
  <c r="Z172" i="1"/>
  <c r="AA172" i="1"/>
  <c r="T173" i="1"/>
  <c r="U173" i="1"/>
  <c r="V173" i="1"/>
  <c r="W173" i="1"/>
  <c r="X173" i="1"/>
  <c r="Y173" i="1"/>
  <c r="Z173" i="1"/>
  <c r="AA173" i="1"/>
  <c r="T174" i="1"/>
  <c r="U174" i="1"/>
  <c r="V174" i="1"/>
  <c r="W174" i="1"/>
  <c r="X174" i="1"/>
  <c r="Y174" i="1"/>
  <c r="Z174" i="1"/>
  <c r="AA174" i="1"/>
  <c r="T175" i="1"/>
  <c r="U175" i="1"/>
  <c r="V175" i="1"/>
  <c r="W175" i="1"/>
  <c r="X175" i="1"/>
  <c r="Y175" i="1"/>
  <c r="Z175" i="1"/>
  <c r="AA175" i="1"/>
  <c r="T176" i="1"/>
  <c r="U176" i="1"/>
  <c r="V176" i="1"/>
  <c r="W176" i="1"/>
  <c r="X176" i="1"/>
  <c r="Y176" i="1"/>
  <c r="Z176" i="1"/>
  <c r="AA176" i="1"/>
  <c r="T177" i="1"/>
  <c r="U177" i="1"/>
  <c r="V177" i="1"/>
  <c r="W177" i="1"/>
  <c r="X177" i="1"/>
  <c r="Y177" i="1"/>
  <c r="Z177" i="1"/>
  <c r="AA177" i="1"/>
  <c r="T178" i="1"/>
  <c r="U178" i="1"/>
  <c r="V178" i="1"/>
  <c r="W178" i="1"/>
  <c r="X178" i="1"/>
  <c r="Y178" i="1"/>
  <c r="Z178" i="1"/>
  <c r="AA178" i="1"/>
  <c r="T179" i="1"/>
  <c r="U179" i="1"/>
  <c r="V179" i="1"/>
  <c r="W179" i="1"/>
  <c r="X179" i="1"/>
  <c r="Y179" i="1"/>
  <c r="Z179" i="1"/>
  <c r="AA179" i="1"/>
  <c r="T180" i="1"/>
  <c r="U180" i="1"/>
  <c r="V180" i="1"/>
  <c r="W180" i="1"/>
  <c r="X180" i="1"/>
  <c r="Y180" i="1"/>
  <c r="Z180" i="1"/>
  <c r="AA180" i="1"/>
  <c r="T181" i="1"/>
  <c r="U181" i="1"/>
  <c r="V181" i="1"/>
  <c r="W181" i="1"/>
  <c r="X181" i="1"/>
  <c r="Y181" i="1"/>
  <c r="Z181" i="1"/>
  <c r="AA181" i="1"/>
  <c r="T182" i="1"/>
  <c r="U182" i="1"/>
  <c r="V182" i="1"/>
  <c r="W182" i="1"/>
  <c r="X182" i="1"/>
  <c r="Y182" i="1"/>
  <c r="Z182" i="1"/>
  <c r="AA182" i="1"/>
  <c r="T183" i="1"/>
  <c r="U183" i="1"/>
  <c r="V183" i="1"/>
  <c r="W183" i="1"/>
  <c r="X183" i="1"/>
  <c r="Y183" i="1"/>
  <c r="Z183" i="1"/>
  <c r="AA183" i="1"/>
  <c r="AA3" i="1"/>
  <c r="Z3" i="1"/>
  <c r="Y3" i="1"/>
  <c r="W3" i="1"/>
  <c r="V3" i="1"/>
  <c r="U3" i="1"/>
  <c r="O37" i="1" l="1"/>
  <c r="O176" i="1" l="1"/>
  <c r="AC92" i="1" l="1"/>
  <c r="AD92" i="1"/>
  <c r="AF92" i="1"/>
  <c r="AG92" i="1"/>
  <c r="AH92" i="1"/>
  <c r="AI92" i="1"/>
  <c r="AC93" i="1"/>
  <c r="AG93" i="1"/>
  <c r="E92" i="1"/>
  <c r="F92" i="1"/>
  <c r="AE92" i="1" s="1"/>
  <c r="G92" i="1"/>
  <c r="H92" i="1"/>
  <c r="I92" i="1"/>
  <c r="J92" i="1"/>
  <c r="AJ92" i="1" s="1"/>
  <c r="K92" i="1"/>
  <c r="L92" i="1"/>
  <c r="M92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7" i="1"/>
  <c r="O178" i="1"/>
  <c r="O179" i="1"/>
  <c r="O180" i="1"/>
  <c r="O181" i="1"/>
  <c r="O182" i="1"/>
  <c r="O183" i="1"/>
  <c r="O3" i="1"/>
  <c r="X3" i="1"/>
  <c r="T3" i="1"/>
  <c r="AG110" i="1" l="1"/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3" i="1"/>
  <c r="AG14" i="1" l="1"/>
  <c r="AG4" i="1"/>
  <c r="AG5" i="1"/>
  <c r="AG6" i="1"/>
  <c r="AG7" i="1"/>
  <c r="AG8" i="1"/>
  <c r="AG9" i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3" i="1" l="1"/>
  <c r="E170" i="1"/>
  <c r="AD170" i="1" s="1"/>
  <c r="F170" i="1"/>
  <c r="AE170" i="1" s="1"/>
  <c r="G170" i="1"/>
  <c r="AF170" i="1" s="1"/>
  <c r="H170" i="1"/>
  <c r="AH170" i="1" s="1"/>
  <c r="I170" i="1"/>
  <c r="AI170" i="1" s="1"/>
  <c r="J170" i="1"/>
  <c r="AJ170" i="1" s="1"/>
  <c r="K170" i="1"/>
  <c r="L170" i="1"/>
  <c r="M170" i="1"/>
  <c r="E155" i="1"/>
  <c r="AD155" i="1" s="1"/>
  <c r="F155" i="1"/>
  <c r="AE155" i="1" s="1"/>
  <c r="G155" i="1"/>
  <c r="AF155" i="1" s="1"/>
  <c r="H155" i="1"/>
  <c r="AH155" i="1" s="1"/>
  <c r="I155" i="1"/>
  <c r="AI155" i="1" s="1"/>
  <c r="J155" i="1"/>
  <c r="AJ155" i="1" s="1"/>
  <c r="K155" i="1"/>
  <c r="L155" i="1"/>
  <c r="M155" i="1"/>
  <c r="E153" i="1"/>
  <c r="AD153" i="1" s="1"/>
  <c r="F153" i="1"/>
  <c r="AE153" i="1" s="1"/>
  <c r="G153" i="1"/>
  <c r="AF153" i="1" s="1"/>
  <c r="H153" i="1"/>
  <c r="AH153" i="1" s="1"/>
  <c r="I153" i="1"/>
  <c r="AI153" i="1" s="1"/>
  <c r="J153" i="1"/>
  <c r="AJ153" i="1" s="1"/>
  <c r="K153" i="1"/>
  <c r="L153" i="1"/>
  <c r="M153" i="1"/>
  <c r="E135" i="1"/>
  <c r="AD135" i="1" s="1"/>
  <c r="F135" i="1"/>
  <c r="AE135" i="1" s="1"/>
  <c r="G135" i="1"/>
  <c r="AF135" i="1" s="1"/>
  <c r="H135" i="1"/>
  <c r="AH135" i="1" s="1"/>
  <c r="I135" i="1"/>
  <c r="AI135" i="1" s="1"/>
  <c r="J135" i="1"/>
  <c r="AJ135" i="1" s="1"/>
  <c r="K135" i="1"/>
  <c r="L135" i="1"/>
  <c r="M135" i="1"/>
  <c r="E96" i="1"/>
  <c r="AD96" i="1" s="1"/>
  <c r="F96" i="1"/>
  <c r="AE96" i="1" s="1"/>
  <c r="G96" i="1"/>
  <c r="AF96" i="1" s="1"/>
  <c r="H96" i="1"/>
  <c r="AH96" i="1" s="1"/>
  <c r="I96" i="1"/>
  <c r="AI96" i="1" s="1"/>
  <c r="J96" i="1"/>
  <c r="AJ96" i="1" s="1"/>
  <c r="K96" i="1"/>
  <c r="L96" i="1"/>
  <c r="M96" i="1"/>
  <c r="E95" i="1"/>
  <c r="AD95" i="1" s="1"/>
  <c r="F95" i="1"/>
  <c r="AE95" i="1" s="1"/>
  <c r="G95" i="1"/>
  <c r="AF95" i="1" s="1"/>
  <c r="H95" i="1"/>
  <c r="AH95" i="1" s="1"/>
  <c r="I95" i="1"/>
  <c r="AI95" i="1" s="1"/>
  <c r="J95" i="1"/>
  <c r="AJ95" i="1" s="1"/>
  <c r="K95" i="1"/>
  <c r="L95" i="1"/>
  <c r="M95" i="1"/>
  <c r="E73" i="1"/>
  <c r="AD73" i="1" s="1"/>
  <c r="F73" i="1"/>
  <c r="AE73" i="1" s="1"/>
  <c r="G73" i="1"/>
  <c r="AF73" i="1" s="1"/>
  <c r="H73" i="1"/>
  <c r="AH73" i="1" s="1"/>
  <c r="I73" i="1"/>
  <c r="AI73" i="1" s="1"/>
  <c r="J73" i="1"/>
  <c r="AJ73" i="1" s="1"/>
  <c r="K73" i="1"/>
  <c r="L73" i="1"/>
  <c r="M73" i="1"/>
  <c r="E59" i="1"/>
  <c r="AD59" i="1" s="1"/>
  <c r="F59" i="1"/>
  <c r="AE59" i="1" s="1"/>
  <c r="G59" i="1"/>
  <c r="AF59" i="1" s="1"/>
  <c r="H59" i="1"/>
  <c r="AH59" i="1" s="1"/>
  <c r="I59" i="1"/>
  <c r="AI59" i="1" s="1"/>
  <c r="J59" i="1"/>
  <c r="AJ59" i="1" s="1"/>
  <c r="K59" i="1"/>
  <c r="L59" i="1"/>
  <c r="M59" i="1"/>
  <c r="E56" i="1"/>
  <c r="AD56" i="1" s="1"/>
  <c r="F56" i="1"/>
  <c r="AE56" i="1" s="1"/>
  <c r="G56" i="1"/>
  <c r="AF56" i="1" s="1"/>
  <c r="H56" i="1"/>
  <c r="AH56" i="1" s="1"/>
  <c r="I56" i="1"/>
  <c r="AI56" i="1" s="1"/>
  <c r="J56" i="1"/>
  <c r="AJ56" i="1" s="1"/>
  <c r="K56" i="1"/>
  <c r="L56" i="1"/>
  <c r="M56" i="1"/>
  <c r="E50" i="1"/>
  <c r="AD50" i="1" s="1"/>
  <c r="F50" i="1"/>
  <c r="AE50" i="1" s="1"/>
  <c r="G50" i="1"/>
  <c r="AF50" i="1" s="1"/>
  <c r="H50" i="1"/>
  <c r="AH50" i="1" s="1"/>
  <c r="I50" i="1"/>
  <c r="AI50" i="1" s="1"/>
  <c r="J50" i="1"/>
  <c r="AJ50" i="1" s="1"/>
  <c r="K50" i="1"/>
  <c r="L50" i="1"/>
  <c r="M50" i="1"/>
  <c r="E35" i="1"/>
  <c r="AD35" i="1" s="1"/>
  <c r="F35" i="1"/>
  <c r="AE35" i="1" s="1"/>
  <c r="G35" i="1"/>
  <c r="AF35" i="1" s="1"/>
  <c r="H35" i="1"/>
  <c r="AH35" i="1" s="1"/>
  <c r="I35" i="1"/>
  <c r="AI35" i="1" s="1"/>
  <c r="J35" i="1"/>
  <c r="AJ35" i="1" s="1"/>
  <c r="K35" i="1"/>
  <c r="L35" i="1"/>
  <c r="M35" i="1"/>
  <c r="E22" i="1"/>
  <c r="AD22" i="1" s="1"/>
  <c r="F22" i="1"/>
  <c r="AE22" i="1" s="1"/>
  <c r="G22" i="1"/>
  <c r="AF22" i="1" s="1"/>
  <c r="H22" i="1"/>
  <c r="AH22" i="1" s="1"/>
  <c r="I22" i="1"/>
  <c r="AI22" i="1" s="1"/>
  <c r="J22" i="1"/>
  <c r="AJ22" i="1" s="1"/>
  <c r="K22" i="1"/>
  <c r="L22" i="1"/>
  <c r="M22" i="1"/>
  <c r="E149" i="1"/>
  <c r="AD149" i="1" s="1"/>
  <c r="F149" i="1"/>
  <c r="AE149" i="1" s="1"/>
  <c r="G149" i="1"/>
  <c r="AF149" i="1" s="1"/>
  <c r="H149" i="1"/>
  <c r="AH149" i="1" s="1"/>
  <c r="I149" i="1"/>
  <c r="AI149" i="1" s="1"/>
  <c r="J149" i="1"/>
  <c r="AJ149" i="1" s="1"/>
  <c r="K149" i="1"/>
  <c r="L149" i="1"/>
  <c r="M149" i="1"/>
  <c r="E127" i="1"/>
  <c r="AD127" i="1" s="1"/>
  <c r="F127" i="1"/>
  <c r="AE127" i="1" s="1"/>
  <c r="G127" i="1"/>
  <c r="AF127" i="1" s="1"/>
  <c r="H127" i="1"/>
  <c r="AH127" i="1" s="1"/>
  <c r="I127" i="1"/>
  <c r="AI127" i="1" s="1"/>
  <c r="J127" i="1"/>
  <c r="AJ127" i="1" s="1"/>
  <c r="K127" i="1"/>
  <c r="L127" i="1"/>
  <c r="M127" i="1"/>
  <c r="E106" i="1"/>
  <c r="AD106" i="1" s="1"/>
  <c r="F106" i="1"/>
  <c r="AE106" i="1" s="1"/>
  <c r="G106" i="1"/>
  <c r="AF106" i="1" s="1"/>
  <c r="H106" i="1"/>
  <c r="AH106" i="1" s="1"/>
  <c r="I106" i="1"/>
  <c r="AI106" i="1" s="1"/>
  <c r="J106" i="1"/>
  <c r="AJ106" i="1" s="1"/>
  <c r="K106" i="1"/>
  <c r="L106" i="1"/>
  <c r="M106" i="1"/>
  <c r="K4" i="1" l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7" i="1"/>
  <c r="L57" i="1"/>
  <c r="M57" i="1"/>
  <c r="K58" i="1"/>
  <c r="L58" i="1"/>
  <c r="M58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3" i="1"/>
  <c r="L93" i="1"/>
  <c r="M93" i="1"/>
  <c r="K94" i="1"/>
  <c r="L94" i="1"/>
  <c r="M94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50" i="1"/>
  <c r="L150" i="1"/>
  <c r="M150" i="1"/>
  <c r="K151" i="1"/>
  <c r="L151" i="1"/>
  <c r="M151" i="1"/>
  <c r="K152" i="1"/>
  <c r="L152" i="1"/>
  <c r="M152" i="1"/>
  <c r="K154" i="1"/>
  <c r="L154" i="1"/>
  <c r="M154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L3" i="1"/>
  <c r="M3" i="1"/>
  <c r="K3" i="1"/>
  <c r="H4" i="1" l="1"/>
  <c r="AH4" i="1" s="1"/>
  <c r="I4" i="1"/>
  <c r="AI4" i="1" s="1"/>
  <c r="J4" i="1"/>
  <c r="AJ4" i="1" s="1"/>
  <c r="H5" i="1"/>
  <c r="AH5" i="1" s="1"/>
  <c r="I5" i="1"/>
  <c r="AI5" i="1" s="1"/>
  <c r="J5" i="1"/>
  <c r="AJ5" i="1" s="1"/>
  <c r="H6" i="1"/>
  <c r="AH6" i="1" s="1"/>
  <c r="I6" i="1"/>
  <c r="AI6" i="1" s="1"/>
  <c r="J6" i="1"/>
  <c r="AJ6" i="1" s="1"/>
  <c r="H7" i="1"/>
  <c r="AH7" i="1" s="1"/>
  <c r="I7" i="1"/>
  <c r="AI7" i="1" s="1"/>
  <c r="J7" i="1"/>
  <c r="AJ7" i="1" s="1"/>
  <c r="H8" i="1"/>
  <c r="AH8" i="1" s="1"/>
  <c r="I8" i="1"/>
  <c r="AI8" i="1" s="1"/>
  <c r="J8" i="1"/>
  <c r="AJ8" i="1" s="1"/>
  <c r="H9" i="1"/>
  <c r="AH9" i="1" s="1"/>
  <c r="I9" i="1"/>
  <c r="AI9" i="1" s="1"/>
  <c r="J9" i="1"/>
  <c r="AJ9" i="1" s="1"/>
  <c r="H10" i="1"/>
  <c r="AH10" i="1" s="1"/>
  <c r="I10" i="1"/>
  <c r="AI10" i="1" s="1"/>
  <c r="J10" i="1"/>
  <c r="AJ10" i="1" s="1"/>
  <c r="H11" i="1"/>
  <c r="AH11" i="1" s="1"/>
  <c r="I11" i="1"/>
  <c r="AI11" i="1" s="1"/>
  <c r="J11" i="1"/>
  <c r="AJ11" i="1" s="1"/>
  <c r="H12" i="1"/>
  <c r="AH12" i="1" s="1"/>
  <c r="I12" i="1"/>
  <c r="AI12" i="1" s="1"/>
  <c r="J12" i="1"/>
  <c r="AJ12" i="1" s="1"/>
  <c r="H13" i="1"/>
  <c r="AH13" i="1" s="1"/>
  <c r="I13" i="1"/>
  <c r="AI13" i="1" s="1"/>
  <c r="J13" i="1"/>
  <c r="AJ13" i="1" s="1"/>
  <c r="H14" i="1"/>
  <c r="AH14" i="1" s="1"/>
  <c r="I14" i="1"/>
  <c r="AI14" i="1" s="1"/>
  <c r="J14" i="1"/>
  <c r="AJ14" i="1" s="1"/>
  <c r="H15" i="1"/>
  <c r="AH15" i="1" s="1"/>
  <c r="I15" i="1"/>
  <c r="AI15" i="1" s="1"/>
  <c r="J15" i="1"/>
  <c r="AJ15" i="1" s="1"/>
  <c r="H16" i="1"/>
  <c r="AH16" i="1" s="1"/>
  <c r="I16" i="1"/>
  <c r="AI16" i="1" s="1"/>
  <c r="J16" i="1"/>
  <c r="AJ16" i="1" s="1"/>
  <c r="H17" i="1"/>
  <c r="AH17" i="1" s="1"/>
  <c r="I17" i="1"/>
  <c r="AI17" i="1" s="1"/>
  <c r="J17" i="1"/>
  <c r="AJ17" i="1" s="1"/>
  <c r="H18" i="1"/>
  <c r="AH18" i="1" s="1"/>
  <c r="I18" i="1"/>
  <c r="AI18" i="1" s="1"/>
  <c r="J18" i="1"/>
  <c r="AJ18" i="1" s="1"/>
  <c r="H19" i="1"/>
  <c r="AH19" i="1" s="1"/>
  <c r="I19" i="1"/>
  <c r="AI19" i="1" s="1"/>
  <c r="J19" i="1"/>
  <c r="AJ19" i="1" s="1"/>
  <c r="H20" i="1"/>
  <c r="AH20" i="1" s="1"/>
  <c r="I20" i="1"/>
  <c r="AI20" i="1" s="1"/>
  <c r="J20" i="1"/>
  <c r="AJ20" i="1" s="1"/>
  <c r="H21" i="1"/>
  <c r="AH21" i="1" s="1"/>
  <c r="I21" i="1"/>
  <c r="AI21" i="1" s="1"/>
  <c r="J21" i="1"/>
  <c r="AJ21" i="1" s="1"/>
  <c r="H23" i="1"/>
  <c r="AH23" i="1" s="1"/>
  <c r="I23" i="1"/>
  <c r="AI23" i="1" s="1"/>
  <c r="J23" i="1"/>
  <c r="AJ23" i="1" s="1"/>
  <c r="H24" i="1"/>
  <c r="AH24" i="1" s="1"/>
  <c r="I24" i="1"/>
  <c r="AI24" i="1" s="1"/>
  <c r="J24" i="1"/>
  <c r="AJ24" i="1" s="1"/>
  <c r="H25" i="1"/>
  <c r="AH25" i="1" s="1"/>
  <c r="I25" i="1"/>
  <c r="AI25" i="1" s="1"/>
  <c r="J25" i="1"/>
  <c r="AJ25" i="1" s="1"/>
  <c r="H26" i="1"/>
  <c r="AH26" i="1" s="1"/>
  <c r="I26" i="1"/>
  <c r="AI26" i="1" s="1"/>
  <c r="J26" i="1"/>
  <c r="AJ26" i="1" s="1"/>
  <c r="H27" i="1"/>
  <c r="AH27" i="1" s="1"/>
  <c r="I27" i="1"/>
  <c r="AI27" i="1" s="1"/>
  <c r="J27" i="1"/>
  <c r="AJ27" i="1" s="1"/>
  <c r="H28" i="1"/>
  <c r="AH28" i="1" s="1"/>
  <c r="I28" i="1"/>
  <c r="AI28" i="1" s="1"/>
  <c r="J28" i="1"/>
  <c r="AJ28" i="1" s="1"/>
  <c r="H29" i="1"/>
  <c r="AH29" i="1" s="1"/>
  <c r="I29" i="1"/>
  <c r="AI29" i="1" s="1"/>
  <c r="J29" i="1"/>
  <c r="AJ29" i="1" s="1"/>
  <c r="H30" i="1"/>
  <c r="AH30" i="1" s="1"/>
  <c r="I30" i="1"/>
  <c r="AI30" i="1" s="1"/>
  <c r="J30" i="1"/>
  <c r="AJ30" i="1" s="1"/>
  <c r="H31" i="1"/>
  <c r="AH31" i="1" s="1"/>
  <c r="I31" i="1"/>
  <c r="AI31" i="1" s="1"/>
  <c r="J31" i="1"/>
  <c r="AJ31" i="1" s="1"/>
  <c r="H32" i="1"/>
  <c r="AH32" i="1" s="1"/>
  <c r="I32" i="1"/>
  <c r="AI32" i="1" s="1"/>
  <c r="J32" i="1"/>
  <c r="AJ32" i="1" s="1"/>
  <c r="H33" i="1"/>
  <c r="AH33" i="1" s="1"/>
  <c r="I33" i="1"/>
  <c r="AI33" i="1" s="1"/>
  <c r="J33" i="1"/>
  <c r="AJ33" i="1" s="1"/>
  <c r="H34" i="1"/>
  <c r="AH34" i="1" s="1"/>
  <c r="I34" i="1"/>
  <c r="AI34" i="1" s="1"/>
  <c r="J34" i="1"/>
  <c r="AJ34" i="1" s="1"/>
  <c r="H36" i="1"/>
  <c r="AH36" i="1" s="1"/>
  <c r="I36" i="1"/>
  <c r="AI36" i="1" s="1"/>
  <c r="J36" i="1"/>
  <c r="AJ36" i="1" s="1"/>
  <c r="H37" i="1"/>
  <c r="AH37" i="1" s="1"/>
  <c r="I37" i="1"/>
  <c r="AI37" i="1" s="1"/>
  <c r="J37" i="1"/>
  <c r="AJ37" i="1" s="1"/>
  <c r="H38" i="1"/>
  <c r="AH38" i="1" s="1"/>
  <c r="I38" i="1"/>
  <c r="AI38" i="1" s="1"/>
  <c r="J38" i="1"/>
  <c r="AJ38" i="1" s="1"/>
  <c r="H39" i="1"/>
  <c r="AH39" i="1" s="1"/>
  <c r="I39" i="1"/>
  <c r="AI39" i="1" s="1"/>
  <c r="J39" i="1"/>
  <c r="AJ39" i="1" s="1"/>
  <c r="H40" i="1"/>
  <c r="AH40" i="1" s="1"/>
  <c r="I40" i="1"/>
  <c r="AI40" i="1" s="1"/>
  <c r="J40" i="1"/>
  <c r="AJ40" i="1" s="1"/>
  <c r="H41" i="1"/>
  <c r="AH41" i="1" s="1"/>
  <c r="I41" i="1"/>
  <c r="AI41" i="1" s="1"/>
  <c r="J41" i="1"/>
  <c r="AJ41" i="1" s="1"/>
  <c r="H42" i="1"/>
  <c r="AH42" i="1" s="1"/>
  <c r="I42" i="1"/>
  <c r="AI42" i="1" s="1"/>
  <c r="J42" i="1"/>
  <c r="AJ42" i="1" s="1"/>
  <c r="H43" i="1"/>
  <c r="AH43" i="1" s="1"/>
  <c r="I43" i="1"/>
  <c r="AI43" i="1" s="1"/>
  <c r="J43" i="1"/>
  <c r="AJ43" i="1" s="1"/>
  <c r="H44" i="1"/>
  <c r="AH44" i="1" s="1"/>
  <c r="I44" i="1"/>
  <c r="AI44" i="1" s="1"/>
  <c r="J44" i="1"/>
  <c r="AJ44" i="1" s="1"/>
  <c r="H45" i="1"/>
  <c r="AH45" i="1" s="1"/>
  <c r="I45" i="1"/>
  <c r="AI45" i="1" s="1"/>
  <c r="J45" i="1"/>
  <c r="AJ45" i="1" s="1"/>
  <c r="H46" i="1"/>
  <c r="AH46" i="1" s="1"/>
  <c r="I46" i="1"/>
  <c r="AI46" i="1" s="1"/>
  <c r="J46" i="1"/>
  <c r="AJ46" i="1" s="1"/>
  <c r="H47" i="1"/>
  <c r="AH47" i="1" s="1"/>
  <c r="I47" i="1"/>
  <c r="AI47" i="1" s="1"/>
  <c r="J47" i="1"/>
  <c r="AJ47" i="1" s="1"/>
  <c r="H48" i="1"/>
  <c r="AH48" i="1" s="1"/>
  <c r="I48" i="1"/>
  <c r="AI48" i="1" s="1"/>
  <c r="J48" i="1"/>
  <c r="AJ48" i="1" s="1"/>
  <c r="H49" i="1"/>
  <c r="AH49" i="1" s="1"/>
  <c r="I49" i="1"/>
  <c r="AI49" i="1" s="1"/>
  <c r="J49" i="1"/>
  <c r="AJ49" i="1" s="1"/>
  <c r="H51" i="1"/>
  <c r="AH51" i="1" s="1"/>
  <c r="I51" i="1"/>
  <c r="AI51" i="1" s="1"/>
  <c r="J51" i="1"/>
  <c r="AJ51" i="1" s="1"/>
  <c r="H52" i="1"/>
  <c r="AH52" i="1" s="1"/>
  <c r="I52" i="1"/>
  <c r="AI52" i="1" s="1"/>
  <c r="J52" i="1"/>
  <c r="AJ52" i="1" s="1"/>
  <c r="H53" i="1"/>
  <c r="AH53" i="1" s="1"/>
  <c r="I53" i="1"/>
  <c r="AI53" i="1" s="1"/>
  <c r="J53" i="1"/>
  <c r="AJ53" i="1" s="1"/>
  <c r="H54" i="1"/>
  <c r="AH54" i="1" s="1"/>
  <c r="I54" i="1"/>
  <c r="AI54" i="1" s="1"/>
  <c r="J54" i="1"/>
  <c r="AJ54" i="1" s="1"/>
  <c r="H55" i="1"/>
  <c r="AH55" i="1" s="1"/>
  <c r="I55" i="1"/>
  <c r="AI55" i="1" s="1"/>
  <c r="J55" i="1"/>
  <c r="AJ55" i="1" s="1"/>
  <c r="H57" i="1"/>
  <c r="AH57" i="1" s="1"/>
  <c r="I57" i="1"/>
  <c r="AI57" i="1" s="1"/>
  <c r="J57" i="1"/>
  <c r="AJ57" i="1" s="1"/>
  <c r="H58" i="1"/>
  <c r="AH58" i="1" s="1"/>
  <c r="I58" i="1"/>
  <c r="AI58" i="1" s="1"/>
  <c r="J58" i="1"/>
  <c r="AJ58" i="1" s="1"/>
  <c r="H60" i="1"/>
  <c r="AH60" i="1" s="1"/>
  <c r="I60" i="1"/>
  <c r="AI60" i="1" s="1"/>
  <c r="J60" i="1"/>
  <c r="AJ60" i="1" s="1"/>
  <c r="H61" i="1"/>
  <c r="AH61" i="1" s="1"/>
  <c r="I61" i="1"/>
  <c r="AI61" i="1" s="1"/>
  <c r="J61" i="1"/>
  <c r="AJ61" i="1" s="1"/>
  <c r="H62" i="1"/>
  <c r="AH62" i="1" s="1"/>
  <c r="I62" i="1"/>
  <c r="AI62" i="1" s="1"/>
  <c r="J62" i="1"/>
  <c r="AJ62" i="1" s="1"/>
  <c r="H63" i="1"/>
  <c r="AH63" i="1" s="1"/>
  <c r="I63" i="1"/>
  <c r="AI63" i="1" s="1"/>
  <c r="J63" i="1"/>
  <c r="AJ63" i="1" s="1"/>
  <c r="H64" i="1"/>
  <c r="AH64" i="1" s="1"/>
  <c r="I64" i="1"/>
  <c r="AI64" i="1" s="1"/>
  <c r="J64" i="1"/>
  <c r="AJ64" i="1" s="1"/>
  <c r="H65" i="1"/>
  <c r="AH65" i="1" s="1"/>
  <c r="I65" i="1"/>
  <c r="AI65" i="1" s="1"/>
  <c r="J65" i="1"/>
  <c r="AJ65" i="1" s="1"/>
  <c r="H66" i="1"/>
  <c r="AH66" i="1" s="1"/>
  <c r="I66" i="1"/>
  <c r="AI66" i="1" s="1"/>
  <c r="J66" i="1"/>
  <c r="AJ66" i="1" s="1"/>
  <c r="H67" i="1"/>
  <c r="AH67" i="1" s="1"/>
  <c r="I67" i="1"/>
  <c r="AI67" i="1" s="1"/>
  <c r="J67" i="1"/>
  <c r="AJ67" i="1" s="1"/>
  <c r="H68" i="1"/>
  <c r="AH68" i="1" s="1"/>
  <c r="I68" i="1"/>
  <c r="AI68" i="1" s="1"/>
  <c r="J68" i="1"/>
  <c r="AJ68" i="1" s="1"/>
  <c r="H69" i="1"/>
  <c r="AH69" i="1" s="1"/>
  <c r="I69" i="1"/>
  <c r="AI69" i="1" s="1"/>
  <c r="J69" i="1"/>
  <c r="AJ69" i="1" s="1"/>
  <c r="H70" i="1"/>
  <c r="AH70" i="1" s="1"/>
  <c r="I70" i="1"/>
  <c r="AI70" i="1" s="1"/>
  <c r="J70" i="1"/>
  <c r="AJ70" i="1" s="1"/>
  <c r="H71" i="1"/>
  <c r="AH71" i="1" s="1"/>
  <c r="I71" i="1"/>
  <c r="AI71" i="1" s="1"/>
  <c r="J71" i="1"/>
  <c r="AJ71" i="1" s="1"/>
  <c r="H72" i="1"/>
  <c r="AH72" i="1" s="1"/>
  <c r="I72" i="1"/>
  <c r="AI72" i="1" s="1"/>
  <c r="J72" i="1"/>
  <c r="AJ72" i="1" s="1"/>
  <c r="H74" i="1"/>
  <c r="AH74" i="1" s="1"/>
  <c r="I74" i="1"/>
  <c r="AI74" i="1" s="1"/>
  <c r="J74" i="1"/>
  <c r="AJ74" i="1" s="1"/>
  <c r="H75" i="1"/>
  <c r="AH75" i="1" s="1"/>
  <c r="I75" i="1"/>
  <c r="AI75" i="1" s="1"/>
  <c r="J75" i="1"/>
  <c r="AJ75" i="1" s="1"/>
  <c r="H76" i="1"/>
  <c r="AH76" i="1" s="1"/>
  <c r="I76" i="1"/>
  <c r="AI76" i="1" s="1"/>
  <c r="J76" i="1"/>
  <c r="AJ76" i="1" s="1"/>
  <c r="H77" i="1"/>
  <c r="AH77" i="1" s="1"/>
  <c r="I77" i="1"/>
  <c r="AI77" i="1" s="1"/>
  <c r="J77" i="1"/>
  <c r="AJ77" i="1" s="1"/>
  <c r="H78" i="1"/>
  <c r="AH78" i="1" s="1"/>
  <c r="I78" i="1"/>
  <c r="AI78" i="1" s="1"/>
  <c r="J78" i="1"/>
  <c r="AJ78" i="1" s="1"/>
  <c r="H79" i="1"/>
  <c r="AH79" i="1" s="1"/>
  <c r="I79" i="1"/>
  <c r="AI79" i="1" s="1"/>
  <c r="J79" i="1"/>
  <c r="AJ79" i="1" s="1"/>
  <c r="H80" i="1"/>
  <c r="AH80" i="1" s="1"/>
  <c r="I80" i="1"/>
  <c r="AI80" i="1" s="1"/>
  <c r="J80" i="1"/>
  <c r="AJ80" i="1" s="1"/>
  <c r="H81" i="1"/>
  <c r="AH81" i="1" s="1"/>
  <c r="I81" i="1"/>
  <c r="AI81" i="1" s="1"/>
  <c r="J81" i="1"/>
  <c r="AJ81" i="1" s="1"/>
  <c r="H82" i="1"/>
  <c r="AH82" i="1" s="1"/>
  <c r="I82" i="1"/>
  <c r="AI82" i="1" s="1"/>
  <c r="J82" i="1"/>
  <c r="AJ82" i="1" s="1"/>
  <c r="H83" i="1"/>
  <c r="AH83" i="1" s="1"/>
  <c r="I83" i="1"/>
  <c r="AI83" i="1" s="1"/>
  <c r="J83" i="1"/>
  <c r="AJ83" i="1" s="1"/>
  <c r="H84" i="1"/>
  <c r="AH84" i="1" s="1"/>
  <c r="I84" i="1"/>
  <c r="AI84" i="1" s="1"/>
  <c r="J84" i="1"/>
  <c r="AJ84" i="1" s="1"/>
  <c r="H85" i="1"/>
  <c r="AH85" i="1" s="1"/>
  <c r="I85" i="1"/>
  <c r="AI85" i="1" s="1"/>
  <c r="J85" i="1"/>
  <c r="AJ85" i="1" s="1"/>
  <c r="H86" i="1"/>
  <c r="AH86" i="1" s="1"/>
  <c r="I86" i="1"/>
  <c r="AI86" i="1" s="1"/>
  <c r="J86" i="1"/>
  <c r="AJ86" i="1" s="1"/>
  <c r="H87" i="1"/>
  <c r="AH87" i="1" s="1"/>
  <c r="I87" i="1"/>
  <c r="AI87" i="1" s="1"/>
  <c r="J87" i="1"/>
  <c r="AJ87" i="1" s="1"/>
  <c r="H88" i="1"/>
  <c r="AH88" i="1" s="1"/>
  <c r="I88" i="1"/>
  <c r="AI88" i="1" s="1"/>
  <c r="J88" i="1"/>
  <c r="AJ88" i="1" s="1"/>
  <c r="H89" i="1"/>
  <c r="AH89" i="1" s="1"/>
  <c r="I89" i="1"/>
  <c r="AI89" i="1" s="1"/>
  <c r="J89" i="1"/>
  <c r="AJ89" i="1" s="1"/>
  <c r="H90" i="1"/>
  <c r="AH90" i="1" s="1"/>
  <c r="I90" i="1"/>
  <c r="AI90" i="1" s="1"/>
  <c r="J90" i="1"/>
  <c r="AJ90" i="1" s="1"/>
  <c r="H91" i="1"/>
  <c r="AH91" i="1" s="1"/>
  <c r="I91" i="1"/>
  <c r="AI91" i="1" s="1"/>
  <c r="J91" i="1"/>
  <c r="AJ91" i="1" s="1"/>
  <c r="H93" i="1"/>
  <c r="AH93" i="1" s="1"/>
  <c r="I93" i="1"/>
  <c r="AI93" i="1" s="1"/>
  <c r="J93" i="1"/>
  <c r="AJ93" i="1" s="1"/>
  <c r="H94" i="1"/>
  <c r="AH94" i="1" s="1"/>
  <c r="I94" i="1"/>
  <c r="AI94" i="1" s="1"/>
  <c r="J94" i="1"/>
  <c r="AJ94" i="1" s="1"/>
  <c r="H97" i="1"/>
  <c r="AH97" i="1" s="1"/>
  <c r="I97" i="1"/>
  <c r="AI97" i="1" s="1"/>
  <c r="J97" i="1"/>
  <c r="AJ97" i="1" s="1"/>
  <c r="H98" i="1"/>
  <c r="AH98" i="1" s="1"/>
  <c r="I98" i="1"/>
  <c r="AI98" i="1" s="1"/>
  <c r="J98" i="1"/>
  <c r="AJ98" i="1" s="1"/>
  <c r="H99" i="1"/>
  <c r="AH99" i="1" s="1"/>
  <c r="I99" i="1"/>
  <c r="AI99" i="1" s="1"/>
  <c r="J99" i="1"/>
  <c r="AJ99" i="1" s="1"/>
  <c r="H100" i="1"/>
  <c r="AH100" i="1" s="1"/>
  <c r="I100" i="1"/>
  <c r="AI100" i="1" s="1"/>
  <c r="J100" i="1"/>
  <c r="AJ100" i="1" s="1"/>
  <c r="H101" i="1"/>
  <c r="AH101" i="1" s="1"/>
  <c r="I101" i="1"/>
  <c r="AI101" i="1" s="1"/>
  <c r="J101" i="1"/>
  <c r="AJ101" i="1" s="1"/>
  <c r="H102" i="1"/>
  <c r="AH102" i="1" s="1"/>
  <c r="I102" i="1"/>
  <c r="AI102" i="1" s="1"/>
  <c r="J102" i="1"/>
  <c r="AJ102" i="1" s="1"/>
  <c r="H103" i="1"/>
  <c r="AH103" i="1" s="1"/>
  <c r="I103" i="1"/>
  <c r="AI103" i="1" s="1"/>
  <c r="J103" i="1"/>
  <c r="AJ103" i="1" s="1"/>
  <c r="H104" i="1"/>
  <c r="AH104" i="1" s="1"/>
  <c r="I104" i="1"/>
  <c r="AI104" i="1" s="1"/>
  <c r="J104" i="1"/>
  <c r="AJ104" i="1" s="1"/>
  <c r="H105" i="1"/>
  <c r="AH105" i="1" s="1"/>
  <c r="I105" i="1"/>
  <c r="AI105" i="1" s="1"/>
  <c r="J105" i="1"/>
  <c r="AJ105" i="1" s="1"/>
  <c r="H107" i="1"/>
  <c r="AH107" i="1" s="1"/>
  <c r="I107" i="1"/>
  <c r="AI107" i="1" s="1"/>
  <c r="J107" i="1"/>
  <c r="AJ107" i="1" s="1"/>
  <c r="H108" i="1"/>
  <c r="AH108" i="1" s="1"/>
  <c r="I108" i="1"/>
  <c r="AI108" i="1" s="1"/>
  <c r="J108" i="1"/>
  <c r="AJ108" i="1" s="1"/>
  <c r="H109" i="1"/>
  <c r="AH109" i="1" s="1"/>
  <c r="I109" i="1"/>
  <c r="AI109" i="1" s="1"/>
  <c r="J109" i="1"/>
  <c r="AJ109" i="1" s="1"/>
  <c r="H110" i="1"/>
  <c r="AH110" i="1" s="1"/>
  <c r="I110" i="1"/>
  <c r="AI110" i="1" s="1"/>
  <c r="J110" i="1"/>
  <c r="AJ110" i="1" s="1"/>
  <c r="H111" i="1"/>
  <c r="AH111" i="1" s="1"/>
  <c r="I111" i="1"/>
  <c r="AI111" i="1" s="1"/>
  <c r="J111" i="1"/>
  <c r="AJ111" i="1" s="1"/>
  <c r="H112" i="1"/>
  <c r="AH112" i="1" s="1"/>
  <c r="I112" i="1"/>
  <c r="AI112" i="1" s="1"/>
  <c r="J112" i="1"/>
  <c r="AJ112" i="1" s="1"/>
  <c r="H113" i="1"/>
  <c r="AH113" i="1" s="1"/>
  <c r="I113" i="1"/>
  <c r="AI113" i="1" s="1"/>
  <c r="J113" i="1"/>
  <c r="AJ113" i="1" s="1"/>
  <c r="H114" i="1"/>
  <c r="AH114" i="1" s="1"/>
  <c r="I114" i="1"/>
  <c r="AI114" i="1" s="1"/>
  <c r="J114" i="1"/>
  <c r="AJ114" i="1" s="1"/>
  <c r="H115" i="1"/>
  <c r="AH115" i="1" s="1"/>
  <c r="I115" i="1"/>
  <c r="AI115" i="1" s="1"/>
  <c r="J115" i="1"/>
  <c r="AJ115" i="1" s="1"/>
  <c r="H116" i="1"/>
  <c r="AH116" i="1" s="1"/>
  <c r="I116" i="1"/>
  <c r="AI116" i="1" s="1"/>
  <c r="J116" i="1"/>
  <c r="AJ116" i="1" s="1"/>
  <c r="H117" i="1"/>
  <c r="AH117" i="1" s="1"/>
  <c r="I117" i="1"/>
  <c r="AI117" i="1" s="1"/>
  <c r="J117" i="1"/>
  <c r="AJ117" i="1" s="1"/>
  <c r="H118" i="1"/>
  <c r="AH118" i="1" s="1"/>
  <c r="I118" i="1"/>
  <c r="AI118" i="1" s="1"/>
  <c r="J118" i="1"/>
  <c r="AJ118" i="1" s="1"/>
  <c r="H119" i="1"/>
  <c r="AH119" i="1" s="1"/>
  <c r="I119" i="1"/>
  <c r="AI119" i="1" s="1"/>
  <c r="J119" i="1"/>
  <c r="AJ119" i="1" s="1"/>
  <c r="H120" i="1"/>
  <c r="AH120" i="1" s="1"/>
  <c r="I120" i="1"/>
  <c r="AI120" i="1" s="1"/>
  <c r="J120" i="1"/>
  <c r="AJ120" i="1" s="1"/>
  <c r="H121" i="1"/>
  <c r="AH121" i="1" s="1"/>
  <c r="I121" i="1"/>
  <c r="AI121" i="1" s="1"/>
  <c r="J121" i="1"/>
  <c r="AJ121" i="1" s="1"/>
  <c r="H122" i="1"/>
  <c r="AH122" i="1" s="1"/>
  <c r="I122" i="1"/>
  <c r="AI122" i="1" s="1"/>
  <c r="J122" i="1"/>
  <c r="AJ122" i="1" s="1"/>
  <c r="H123" i="1"/>
  <c r="AH123" i="1" s="1"/>
  <c r="I123" i="1"/>
  <c r="AI123" i="1" s="1"/>
  <c r="J123" i="1"/>
  <c r="AJ123" i="1" s="1"/>
  <c r="H124" i="1"/>
  <c r="AH124" i="1" s="1"/>
  <c r="I124" i="1"/>
  <c r="AI124" i="1" s="1"/>
  <c r="J124" i="1"/>
  <c r="AJ124" i="1" s="1"/>
  <c r="H125" i="1"/>
  <c r="AH125" i="1" s="1"/>
  <c r="I125" i="1"/>
  <c r="AI125" i="1" s="1"/>
  <c r="J125" i="1"/>
  <c r="AJ125" i="1" s="1"/>
  <c r="H126" i="1"/>
  <c r="AH126" i="1" s="1"/>
  <c r="I126" i="1"/>
  <c r="AI126" i="1" s="1"/>
  <c r="J126" i="1"/>
  <c r="AJ126" i="1" s="1"/>
  <c r="H128" i="1"/>
  <c r="AH128" i="1" s="1"/>
  <c r="I128" i="1"/>
  <c r="AI128" i="1" s="1"/>
  <c r="J128" i="1"/>
  <c r="AJ128" i="1" s="1"/>
  <c r="H129" i="1"/>
  <c r="AH129" i="1" s="1"/>
  <c r="I129" i="1"/>
  <c r="AI129" i="1" s="1"/>
  <c r="J129" i="1"/>
  <c r="AJ129" i="1" s="1"/>
  <c r="H130" i="1"/>
  <c r="AH130" i="1" s="1"/>
  <c r="I130" i="1"/>
  <c r="AI130" i="1" s="1"/>
  <c r="J130" i="1"/>
  <c r="AJ130" i="1" s="1"/>
  <c r="H131" i="1"/>
  <c r="AH131" i="1" s="1"/>
  <c r="I131" i="1"/>
  <c r="AI131" i="1" s="1"/>
  <c r="J131" i="1"/>
  <c r="AJ131" i="1" s="1"/>
  <c r="H132" i="1"/>
  <c r="AH132" i="1" s="1"/>
  <c r="I132" i="1"/>
  <c r="AI132" i="1" s="1"/>
  <c r="J132" i="1"/>
  <c r="AJ132" i="1" s="1"/>
  <c r="H133" i="1"/>
  <c r="AH133" i="1" s="1"/>
  <c r="I133" i="1"/>
  <c r="AI133" i="1" s="1"/>
  <c r="J133" i="1"/>
  <c r="AJ133" i="1" s="1"/>
  <c r="H134" i="1"/>
  <c r="AH134" i="1" s="1"/>
  <c r="I134" i="1"/>
  <c r="AI134" i="1" s="1"/>
  <c r="J134" i="1"/>
  <c r="AJ134" i="1" s="1"/>
  <c r="H136" i="1"/>
  <c r="AH136" i="1" s="1"/>
  <c r="I136" i="1"/>
  <c r="AI136" i="1" s="1"/>
  <c r="J136" i="1"/>
  <c r="AJ136" i="1" s="1"/>
  <c r="H137" i="1"/>
  <c r="AH137" i="1" s="1"/>
  <c r="I137" i="1"/>
  <c r="AI137" i="1" s="1"/>
  <c r="J137" i="1"/>
  <c r="AJ137" i="1" s="1"/>
  <c r="H138" i="1"/>
  <c r="AH138" i="1" s="1"/>
  <c r="I138" i="1"/>
  <c r="AI138" i="1" s="1"/>
  <c r="J138" i="1"/>
  <c r="AJ138" i="1" s="1"/>
  <c r="H139" i="1"/>
  <c r="AH139" i="1" s="1"/>
  <c r="I139" i="1"/>
  <c r="AI139" i="1" s="1"/>
  <c r="J139" i="1"/>
  <c r="AJ139" i="1" s="1"/>
  <c r="H140" i="1"/>
  <c r="AH140" i="1" s="1"/>
  <c r="I140" i="1"/>
  <c r="AI140" i="1" s="1"/>
  <c r="J140" i="1"/>
  <c r="AJ140" i="1" s="1"/>
  <c r="H141" i="1"/>
  <c r="AH141" i="1" s="1"/>
  <c r="I141" i="1"/>
  <c r="AI141" i="1" s="1"/>
  <c r="J141" i="1"/>
  <c r="AJ141" i="1" s="1"/>
  <c r="H142" i="1"/>
  <c r="AH142" i="1" s="1"/>
  <c r="I142" i="1"/>
  <c r="AI142" i="1" s="1"/>
  <c r="J142" i="1"/>
  <c r="AJ142" i="1" s="1"/>
  <c r="H143" i="1"/>
  <c r="AH143" i="1" s="1"/>
  <c r="I143" i="1"/>
  <c r="AI143" i="1" s="1"/>
  <c r="J143" i="1"/>
  <c r="AJ143" i="1" s="1"/>
  <c r="H144" i="1"/>
  <c r="AH144" i="1" s="1"/>
  <c r="I144" i="1"/>
  <c r="AI144" i="1" s="1"/>
  <c r="J144" i="1"/>
  <c r="AJ144" i="1" s="1"/>
  <c r="H145" i="1"/>
  <c r="AH145" i="1" s="1"/>
  <c r="I145" i="1"/>
  <c r="AI145" i="1" s="1"/>
  <c r="J145" i="1"/>
  <c r="AJ145" i="1" s="1"/>
  <c r="H146" i="1"/>
  <c r="AH146" i="1" s="1"/>
  <c r="I146" i="1"/>
  <c r="AI146" i="1" s="1"/>
  <c r="J146" i="1"/>
  <c r="AJ146" i="1" s="1"/>
  <c r="H147" i="1"/>
  <c r="AH147" i="1" s="1"/>
  <c r="I147" i="1"/>
  <c r="AI147" i="1" s="1"/>
  <c r="J147" i="1"/>
  <c r="AJ147" i="1" s="1"/>
  <c r="H148" i="1"/>
  <c r="AH148" i="1" s="1"/>
  <c r="I148" i="1"/>
  <c r="AI148" i="1" s="1"/>
  <c r="J148" i="1"/>
  <c r="AJ148" i="1" s="1"/>
  <c r="H150" i="1"/>
  <c r="AH150" i="1" s="1"/>
  <c r="I150" i="1"/>
  <c r="AI150" i="1" s="1"/>
  <c r="J150" i="1"/>
  <c r="AJ150" i="1" s="1"/>
  <c r="H151" i="1"/>
  <c r="AH151" i="1" s="1"/>
  <c r="I151" i="1"/>
  <c r="AI151" i="1" s="1"/>
  <c r="J151" i="1"/>
  <c r="AJ151" i="1" s="1"/>
  <c r="H152" i="1"/>
  <c r="AH152" i="1" s="1"/>
  <c r="I152" i="1"/>
  <c r="AI152" i="1" s="1"/>
  <c r="J152" i="1"/>
  <c r="AJ152" i="1" s="1"/>
  <c r="H154" i="1"/>
  <c r="AH154" i="1" s="1"/>
  <c r="I154" i="1"/>
  <c r="AI154" i="1" s="1"/>
  <c r="J154" i="1"/>
  <c r="AJ154" i="1" s="1"/>
  <c r="H156" i="1"/>
  <c r="AH156" i="1" s="1"/>
  <c r="I156" i="1"/>
  <c r="AI156" i="1" s="1"/>
  <c r="J156" i="1"/>
  <c r="AJ156" i="1" s="1"/>
  <c r="H157" i="1"/>
  <c r="AH157" i="1" s="1"/>
  <c r="I157" i="1"/>
  <c r="AI157" i="1" s="1"/>
  <c r="J157" i="1"/>
  <c r="AJ157" i="1" s="1"/>
  <c r="H158" i="1"/>
  <c r="AH158" i="1" s="1"/>
  <c r="I158" i="1"/>
  <c r="AI158" i="1" s="1"/>
  <c r="J158" i="1"/>
  <c r="AJ158" i="1" s="1"/>
  <c r="H159" i="1"/>
  <c r="AH159" i="1" s="1"/>
  <c r="I159" i="1"/>
  <c r="AI159" i="1" s="1"/>
  <c r="J159" i="1"/>
  <c r="AJ159" i="1" s="1"/>
  <c r="H160" i="1"/>
  <c r="AH160" i="1" s="1"/>
  <c r="I160" i="1"/>
  <c r="AI160" i="1" s="1"/>
  <c r="J160" i="1"/>
  <c r="AJ160" i="1" s="1"/>
  <c r="H161" i="1"/>
  <c r="AH161" i="1" s="1"/>
  <c r="I161" i="1"/>
  <c r="AI161" i="1" s="1"/>
  <c r="J161" i="1"/>
  <c r="AJ161" i="1" s="1"/>
  <c r="H162" i="1"/>
  <c r="AH162" i="1" s="1"/>
  <c r="I162" i="1"/>
  <c r="AI162" i="1" s="1"/>
  <c r="J162" i="1"/>
  <c r="AJ162" i="1" s="1"/>
  <c r="H163" i="1"/>
  <c r="AH163" i="1" s="1"/>
  <c r="I163" i="1"/>
  <c r="AI163" i="1" s="1"/>
  <c r="J163" i="1"/>
  <c r="AJ163" i="1" s="1"/>
  <c r="H164" i="1"/>
  <c r="AH164" i="1" s="1"/>
  <c r="I164" i="1"/>
  <c r="AI164" i="1" s="1"/>
  <c r="J164" i="1"/>
  <c r="AJ164" i="1" s="1"/>
  <c r="H165" i="1"/>
  <c r="AH165" i="1" s="1"/>
  <c r="I165" i="1"/>
  <c r="AI165" i="1" s="1"/>
  <c r="J165" i="1"/>
  <c r="AJ165" i="1" s="1"/>
  <c r="H166" i="1"/>
  <c r="AH166" i="1" s="1"/>
  <c r="I166" i="1"/>
  <c r="AI166" i="1" s="1"/>
  <c r="J166" i="1"/>
  <c r="AJ166" i="1" s="1"/>
  <c r="H167" i="1"/>
  <c r="AH167" i="1" s="1"/>
  <c r="I167" i="1"/>
  <c r="AI167" i="1" s="1"/>
  <c r="J167" i="1"/>
  <c r="AJ167" i="1" s="1"/>
  <c r="H168" i="1"/>
  <c r="AH168" i="1" s="1"/>
  <c r="I168" i="1"/>
  <c r="AI168" i="1" s="1"/>
  <c r="J168" i="1"/>
  <c r="AJ168" i="1" s="1"/>
  <c r="H169" i="1"/>
  <c r="AH169" i="1" s="1"/>
  <c r="I169" i="1"/>
  <c r="AI169" i="1" s="1"/>
  <c r="J169" i="1"/>
  <c r="AJ169" i="1" s="1"/>
  <c r="H171" i="1"/>
  <c r="AH171" i="1" s="1"/>
  <c r="I171" i="1"/>
  <c r="AI171" i="1" s="1"/>
  <c r="J171" i="1"/>
  <c r="AJ171" i="1" s="1"/>
  <c r="H172" i="1"/>
  <c r="AH172" i="1" s="1"/>
  <c r="I172" i="1"/>
  <c r="AI172" i="1" s="1"/>
  <c r="J172" i="1"/>
  <c r="AJ172" i="1" s="1"/>
  <c r="H173" i="1"/>
  <c r="AH173" i="1" s="1"/>
  <c r="I173" i="1"/>
  <c r="AI173" i="1" s="1"/>
  <c r="J173" i="1"/>
  <c r="AJ173" i="1" s="1"/>
  <c r="H174" i="1"/>
  <c r="AH174" i="1" s="1"/>
  <c r="I174" i="1"/>
  <c r="AI174" i="1" s="1"/>
  <c r="J174" i="1"/>
  <c r="AJ174" i="1" s="1"/>
  <c r="H175" i="1"/>
  <c r="AH175" i="1" s="1"/>
  <c r="I175" i="1"/>
  <c r="AI175" i="1" s="1"/>
  <c r="J175" i="1"/>
  <c r="AJ175" i="1" s="1"/>
  <c r="H176" i="1"/>
  <c r="AH176" i="1" s="1"/>
  <c r="I176" i="1"/>
  <c r="AI176" i="1" s="1"/>
  <c r="J176" i="1"/>
  <c r="AJ176" i="1" s="1"/>
  <c r="H177" i="1"/>
  <c r="AH177" i="1" s="1"/>
  <c r="I177" i="1"/>
  <c r="AI177" i="1" s="1"/>
  <c r="J177" i="1"/>
  <c r="AJ177" i="1" s="1"/>
  <c r="H178" i="1"/>
  <c r="AH178" i="1" s="1"/>
  <c r="I178" i="1"/>
  <c r="AI178" i="1" s="1"/>
  <c r="J178" i="1"/>
  <c r="AJ178" i="1" s="1"/>
  <c r="H179" i="1"/>
  <c r="AH179" i="1" s="1"/>
  <c r="I179" i="1"/>
  <c r="AI179" i="1" s="1"/>
  <c r="J179" i="1"/>
  <c r="AJ179" i="1" s="1"/>
  <c r="H180" i="1"/>
  <c r="AH180" i="1" s="1"/>
  <c r="I180" i="1"/>
  <c r="AI180" i="1" s="1"/>
  <c r="J180" i="1"/>
  <c r="AJ180" i="1" s="1"/>
  <c r="H181" i="1"/>
  <c r="AH181" i="1" s="1"/>
  <c r="I181" i="1"/>
  <c r="AI181" i="1" s="1"/>
  <c r="J181" i="1"/>
  <c r="AJ181" i="1" s="1"/>
  <c r="H182" i="1"/>
  <c r="AH182" i="1" s="1"/>
  <c r="I182" i="1"/>
  <c r="AI182" i="1" s="1"/>
  <c r="J182" i="1"/>
  <c r="AJ182" i="1" s="1"/>
  <c r="H183" i="1"/>
  <c r="AH183" i="1" s="1"/>
  <c r="I183" i="1"/>
  <c r="AI183" i="1" s="1"/>
  <c r="J183" i="1"/>
  <c r="AJ183" i="1" s="1"/>
  <c r="I3" i="1"/>
  <c r="AI3" i="1" s="1"/>
  <c r="J3" i="1"/>
  <c r="AJ3" i="1" s="1"/>
  <c r="H3" i="1"/>
  <c r="AH3" i="1" s="1"/>
  <c r="E5" i="1"/>
  <c r="AD5" i="1" s="1"/>
  <c r="F5" i="1"/>
  <c r="AE5" i="1" s="1"/>
  <c r="G5" i="1"/>
  <c r="AF5" i="1" s="1"/>
  <c r="E6" i="1"/>
  <c r="AD6" i="1" s="1"/>
  <c r="F6" i="1"/>
  <c r="AE6" i="1" s="1"/>
  <c r="G6" i="1"/>
  <c r="AF6" i="1" s="1"/>
  <c r="E7" i="1"/>
  <c r="AD7" i="1" s="1"/>
  <c r="F7" i="1"/>
  <c r="AE7" i="1" s="1"/>
  <c r="G7" i="1"/>
  <c r="AF7" i="1" s="1"/>
  <c r="E8" i="1"/>
  <c r="AD8" i="1" s="1"/>
  <c r="F8" i="1"/>
  <c r="AE8" i="1" s="1"/>
  <c r="G8" i="1"/>
  <c r="AF8" i="1" s="1"/>
  <c r="E9" i="1"/>
  <c r="AD9" i="1" s="1"/>
  <c r="F9" i="1"/>
  <c r="AE9" i="1" s="1"/>
  <c r="G9" i="1"/>
  <c r="AF9" i="1" s="1"/>
  <c r="E10" i="1"/>
  <c r="AD10" i="1" s="1"/>
  <c r="F10" i="1"/>
  <c r="AE10" i="1" s="1"/>
  <c r="G10" i="1"/>
  <c r="AF10" i="1" s="1"/>
  <c r="E11" i="1"/>
  <c r="AD11" i="1" s="1"/>
  <c r="F11" i="1"/>
  <c r="AE11" i="1" s="1"/>
  <c r="G11" i="1"/>
  <c r="AF11" i="1" s="1"/>
  <c r="E12" i="1"/>
  <c r="AD12" i="1" s="1"/>
  <c r="F12" i="1"/>
  <c r="AE12" i="1" s="1"/>
  <c r="G12" i="1"/>
  <c r="AF12" i="1" s="1"/>
  <c r="E13" i="1"/>
  <c r="AD13" i="1" s="1"/>
  <c r="F13" i="1"/>
  <c r="AE13" i="1" s="1"/>
  <c r="G13" i="1"/>
  <c r="AF13" i="1" s="1"/>
  <c r="E14" i="1"/>
  <c r="AD14" i="1" s="1"/>
  <c r="F14" i="1"/>
  <c r="AE14" i="1" s="1"/>
  <c r="G14" i="1"/>
  <c r="AF14" i="1" s="1"/>
  <c r="E15" i="1"/>
  <c r="AD15" i="1" s="1"/>
  <c r="F15" i="1"/>
  <c r="AE15" i="1" s="1"/>
  <c r="G15" i="1"/>
  <c r="AF15" i="1" s="1"/>
  <c r="E16" i="1"/>
  <c r="AD16" i="1" s="1"/>
  <c r="F16" i="1"/>
  <c r="AE16" i="1" s="1"/>
  <c r="G16" i="1"/>
  <c r="AF16" i="1" s="1"/>
  <c r="E17" i="1"/>
  <c r="AD17" i="1" s="1"/>
  <c r="F17" i="1"/>
  <c r="AE17" i="1" s="1"/>
  <c r="G17" i="1"/>
  <c r="AF17" i="1" s="1"/>
  <c r="E18" i="1"/>
  <c r="AD18" i="1" s="1"/>
  <c r="F18" i="1"/>
  <c r="AE18" i="1" s="1"/>
  <c r="G18" i="1"/>
  <c r="AF18" i="1" s="1"/>
  <c r="E19" i="1"/>
  <c r="AD19" i="1" s="1"/>
  <c r="F19" i="1"/>
  <c r="AE19" i="1" s="1"/>
  <c r="G19" i="1"/>
  <c r="AF19" i="1" s="1"/>
  <c r="E20" i="1"/>
  <c r="AD20" i="1" s="1"/>
  <c r="F20" i="1"/>
  <c r="AE20" i="1" s="1"/>
  <c r="G20" i="1"/>
  <c r="AF20" i="1" s="1"/>
  <c r="E21" i="1"/>
  <c r="AD21" i="1" s="1"/>
  <c r="F21" i="1"/>
  <c r="AE21" i="1" s="1"/>
  <c r="G21" i="1"/>
  <c r="AF21" i="1" s="1"/>
  <c r="E23" i="1"/>
  <c r="AD23" i="1" s="1"/>
  <c r="F23" i="1"/>
  <c r="AE23" i="1" s="1"/>
  <c r="G23" i="1"/>
  <c r="AF23" i="1" s="1"/>
  <c r="E24" i="1"/>
  <c r="AD24" i="1" s="1"/>
  <c r="F24" i="1"/>
  <c r="AE24" i="1" s="1"/>
  <c r="G24" i="1"/>
  <c r="AF24" i="1" s="1"/>
  <c r="E25" i="1"/>
  <c r="AD25" i="1" s="1"/>
  <c r="F25" i="1"/>
  <c r="AE25" i="1" s="1"/>
  <c r="G25" i="1"/>
  <c r="AF25" i="1" s="1"/>
  <c r="E26" i="1"/>
  <c r="AD26" i="1" s="1"/>
  <c r="F26" i="1"/>
  <c r="AE26" i="1" s="1"/>
  <c r="G26" i="1"/>
  <c r="AF26" i="1" s="1"/>
  <c r="E27" i="1"/>
  <c r="AD27" i="1" s="1"/>
  <c r="F27" i="1"/>
  <c r="AE27" i="1" s="1"/>
  <c r="G27" i="1"/>
  <c r="AF27" i="1" s="1"/>
  <c r="E28" i="1"/>
  <c r="AD28" i="1" s="1"/>
  <c r="F28" i="1"/>
  <c r="AE28" i="1" s="1"/>
  <c r="G28" i="1"/>
  <c r="AF28" i="1" s="1"/>
  <c r="E29" i="1"/>
  <c r="AD29" i="1" s="1"/>
  <c r="F29" i="1"/>
  <c r="AE29" i="1" s="1"/>
  <c r="G29" i="1"/>
  <c r="AF29" i="1" s="1"/>
  <c r="E30" i="1"/>
  <c r="AD30" i="1" s="1"/>
  <c r="F30" i="1"/>
  <c r="AE30" i="1" s="1"/>
  <c r="G30" i="1"/>
  <c r="AF30" i="1" s="1"/>
  <c r="E31" i="1"/>
  <c r="AD31" i="1" s="1"/>
  <c r="F31" i="1"/>
  <c r="AE31" i="1" s="1"/>
  <c r="G31" i="1"/>
  <c r="AF31" i="1" s="1"/>
  <c r="E32" i="1"/>
  <c r="AD32" i="1" s="1"/>
  <c r="F32" i="1"/>
  <c r="AE32" i="1" s="1"/>
  <c r="G32" i="1"/>
  <c r="AF32" i="1" s="1"/>
  <c r="E33" i="1"/>
  <c r="AD33" i="1" s="1"/>
  <c r="F33" i="1"/>
  <c r="AE33" i="1" s="1"/>
  <c r="G33" i="1"/>
  <c r="AF33" i="1" s="1"/>
  <c r="E34" i="1"/>
  <c r="AD34" i="1" s="1"/>
  <c r="F34" i="1"/>
  <c r="AE34" i="1" s="1"/>
  <c r="G34" i="1"/>
  <c r="AF34" i="1" s="1"/>
  <c r="E36" i="1"/>
  <c r="AD36" i="1" s="1"/>
  <c r="F36" i="1"/>
  <c r="AE36" i="1" s="1"/>
  <c r="G36" i="1"/>
  <c r="AF36" i="1" s="1"/>
  <c r="E37" i="1"/>
  <c r="AD37" i="1" s="1"/>
  <c r="F37" i="1"/>
  <c r="AE37" i="1" s="1"/>
  <c r="G37" i="1"/>
  <c r="AF37" i="1" s="1"/>
  <c r="E38" i="1"/>
  <c r="AD38" i="1" s="1"/>
  <c r="F38" i="1"/>
  <c r="AE38" i="1" s="1"/>
  <c r="G38" i="1"/>
  <c r="AF38" i="1" s="1"/>
  <c r="E39" i="1"/>
  <c r="AD39" i="1" s="1"/>
  <c r="F39" i="1"/>
  <c r="AE39" i="1" s="1"/>
  <c r="G39" i="1"/>
  <c r="AF39" i="1" s="1"/>
  <c r="E40" i="1"/>
  <c r="AD40" i="1" s="1"/>
  <c r="F40" i="1"/>
  <c r="AE40" i="1" s="1"/>
  <c r="G40" i="1"/>
  <c r="AF40" i="1" s="1"/>
  <c r="E41" i="1"/>
  <c r="AD41" i="1" s="1"/>
  <c r="F41" i="1"/>
  <c r="AE41" i="1" s="1"/>
  <c r="G41" i="1"/>
  <c r="AF41" i="1" s="1"/>
  <c r="E42" i="1"/>
  <c r="AD42" i="1" s="1"/>
  <c r="F42" i="1"/>
  <c r="AE42" i="1" s="1"/>
  <c r="G42" i="1"/>
  <c r="AF42" i="1" s="1"/>
  <c r="E43" i="1"/>
  <c r="AD43" i="1" s="1"/>
  <c r="F43" i="1"/>
  <c r="AE43" i="1" s="1"/>
  <c r="G43" i="1"/>
  <c r="AF43" i="1" s="1"/>
  <c r="E44" i="1"/>
  <c r="AD44" i="1" s="1"/>
  <c r="F44" i="1"/>
  <c r="AE44" i="1" s="1"/>
  <c r="G44" i="1"/>
  <c r="AF44" i="1" s="1"/>
  <c r="E45" i="1"/>
  <c r="AD45" i="1" s="1"/>
  <c r="F45" i="1"/>
  <c r="AE45" i="1" s="1"/>
  <c r="G45" i="1"/>
  <c r="AF45" i="1" s="1"/>
  <c r="E46" i="1"/>
  <c r="AD46" i="1" s="1"/>
  <c r="F46" i="1"/>
  <c r="AE46" i="1" s="1"/>
  <c r="G46" i="1"/>
  <c r="AF46" i="1" s="1"/>
  <c r="E47" i="1"/>
  <c r="AD47" i="1" s="1"/>
  <c r="F47" i="1"/>
  <c r="AE47" i="1" s="1"/>
  <c r="G47" i="1"/>
  <c r="AF47" i="1" s="1"/>
  <c r="E48" i="1"/>
  <c r="AD48" i="1" s="1"/>
  <c r="F48" i="1"/>
  <c r="AE48" i="1" s="1"/>
  <c r="G48" i="1"/>
  <c r="AF48" i="1" s="1"/>
  <c r="E49" i="1"/>
  <c r="AD49" i="1" s="1"/>
  <c r="F49" i="1"/>
  <c r="AE49" i="1" s="1"/>
  <c r="G49" i="1"/>
  <c r="AF49" i="1" s="1"/>
  <c r="E51" i="1"/>
  <c r="AD51" i="1" s="1"/>
  <c r="F51" i="1"/>
  <c r="AE51" i="1" s="1"/>
  <c r="G51" i="1"/>
  <c r="AF51" i="1" s="1"/>
  <c r="E52" i="1"/>
  <c r="AD52" i="1" s="1"/>
  <c r="F52" i="1"/>
  <c r="AE52" i="1" s="1"/>
  <c r="G52" i="1"/>
  <c r="AF52" i="1" s="1"/>
  <c r="E53" i="1"/>
  <c r="AD53" i="1" s="1"/>
  <c r="F53" i="1"/>
  <c r="AE53" i="1" s="1"/>
  <c r="G53" i="1"/>
  <c r="AF53" i="1" s="1"/>
  <c r="E54" i="1"/>
  <c r="AD54" i="1" s="1"/>
  <c r="F54" i="1"/>
  <c r="AE54" i="1" s="1"/>
  <c r="G54" i="1"/>
  <c r="AF54" i="1" s="1"/>
  <c r="E55" i="1"/>
  <c r="AD55" i="1" s="1"/>
  <c r="F55" i="1"/>
  <c r="AE55" i="1" s="1"/>
  <c r="G55" i="1"/>
  <c r="AF55" i="1" s="1"/>
  <c r="E57" i="1"/>
  <c r="AD57" i="1" s="1"/>
  <c r="F57" i="1"/>
  <c r="AE57" i="1" s="1"/>
  <c r="G57" i="1"/>
  <c r="AF57" i="1" s="1"/>
  <c r="E58" i="1"/>
  <c r="AD58" i="1" s="1"/>
  <c r="F58" i="1"/>
  <c r="AE58" i="1" s="1"/>
  <c r="G58" i="1"/>
  <c r="AF58" i="1" s="1"/>
  <c r="E60" i="1"/>
  <c r="AD60" i="1" s="1"/>
  <c r="F60" i="1"/>
  <c r="AE60" i="1" s="1"/>
  <c r="G60" i="1"/>
  <c r="AF60" i="1" s="1"/>
  <c r="E61" i="1"/>
  <c r="AD61" i="1" s="1"/>
  <c r="F61" i="1"/>
  <c r="AE61" i="1" s="1"/>
  <c r="G61" i="1"/>
  <c r="AF61" i="1" s="1"/>
  <c r="E62" i="1"/>
  <c r="AD62" i="1" s="1"/>
  <c r="F62" i="1"/>
  <c r="AE62" i="1" s="1"/>
  <c r="G62" i="1"/>
  <c r="AF62" i="1" s="1"/>
  <c r="E63" i="1"/>
  <c r="AD63" i="1" s="1"/>
  <c r="F63" i="1"/>
  <c r="AE63" i="1" s="1"/>
  <c r="G63" i="1"/>
  <c r="AF63" i="1" s="1"/>
  <c r="E64" i="1"/>
  <c r="AD64" i="1" s="1"/>
  <c r="F64" i="1"/>
  <c r="AE64" i="1" s="1"/>
  <c r="G64" i="1"/>
  <c r="AF64" i="1" s="1"/>
  <c r="E65" i="1"/>
  <c r="AD65" i="1" s="1"/>
  <c r="F65" i="1"/>
  <c r="AE65" i="1" s="1"/>
  <c r="G65" i="1"/>
  <c r="AF65" i="1" s="1"/>
  <c r="E66" i="1"/>
  <c r="AD66" i="1" s="1"/>
  <c r="F66" i="1"/>
  <c r="AE66" i="1" s="1"/>
  <c r="G66" i="1"/>
  <c r="AF66" i="1" s="1"/>
  <c r="E67" i="1"/>
  <c r="AD67" i="1" s="1"/>
  <c r="F67" i="1"/>
  <c r="AE67" i="1" s="1"/>
  <c r="G67" i="1"/>
  <c r="AF67" i="1" s="1"/>
  <c r="E68" i="1"/>
  <c r="AD68" i="1" s="1"/>
  <c r="F68" i="1"/>
  <c r="AE68" i="1" s="1"/>
  <c r="G68" i="1"/>
  <c r="AF68" i="1" s="1"/>
  <c r="E69" i="1"/>
  <c r="AD69" i="1" s="1"/>
  <c r="F69" i="1"/>
  <c r="AE69" i="1" s="1"/>
  <c r="G69" i="1"/>
  <c r="AF69" i="1" s="1"/>
  <c r="E70" i="1"/>
  <c r="AD70" i="1" s="1"/>
  <c r="F70" i="1"/>
  <c r="AE70" i="1" s="1"/>
  <c r="G70" i="1"/>
  <c r="AF70" i="1" s="1"/>
  <c r="E71" i="1"/>
  <c r="AD71" i="1" s="1"/>
  <c r="F71" i="1"/>
  <c r="AE71" i="1" s="1"/>
  <c r="G71" i="1"/>
  <c r="AF71" i="1" s="1"/>
  <c r="E72" i="1"/>
  <c r="AD72" i="1" s="1"/>
  <c r="F72" i="1"/>
  <c r="AE72" i="1" s="1"/>
  <c r="G72" i="1"/>
  <c r="AF72" i="1" s="1"/>
  <c r="E74" i="1"/>
  <c r="AD74" i="1" s="1"/>
  <c r="F74" i="1"/>
  <c r="AE74" i="1" s="1"/>
  <c r="G74" i="1"/>
  <c r="AF74" i="1" s="1"/>
  <c r="E75" i="1"/>
  <c r="AD75" i="1" s="1"/>
  <c r="F75" i="1"/>
  <c r="AE75" i="1" s="1"/>
  <c r="G75" i="1"/>
  <c r="AF75" i="1" s="1"/>
  <c r="E76" i="1"/>
  <c r="AD76" i="1" s="1"/>
  <c r="F76" i="1"/>
  <c r="AE76" i="1" s="1"/>
  <c r="G76" i="1"/>
  <c r="AF76" i="1" s="1"/>
  <c r="E77" i="1"/>
  <c r="AD77" i="1" s="1"/>
  <c r="F77" i="1"/>
  <c r="AE77" i="1" s="1"/>
  <c r="G77" i="1"/>
  <c r="AF77" i="1" s="1"/>
  <c r="E78" i="1"/>
  <c r="AD78" i="1" s="1"/>
  <c r="F78" i="1"/>
  <c r="AE78" i="1" s="1"/>
  <c r="G78" i="1"/>
  <c r="AF78" i="1" s="1"/>
  <c r="E79" i="1"/>
  <c r="AD79" i="1" s="1"/>
  <c r="F79" i="1"/>
  <c r="AE79" i="1" s="1"/>
  <c r="G79" i="1"/>
  <c r="AF79" i="1" s="1"/>
  <c r="E80" i="1"/>
  <c r="AD80" i="1" s="1"/>
  <c r="F80" i="1"/>
  <c r="AE80" i="1" s="1"/>
  <c r="G80" i="1"/>
  <c r="AF80" i="1" s="1"/>
  <c r="E81" i="1"/>
  <c r="AD81" i="1" s="1"/>
  <c r="F81" i="1"/>
  <c r="AE81" i="1" s="1"/>
  <c r="G81" i="1"/>
  <c r="AF81" i="1" s="1"/>
  <c r="E82" i="1"/>
  <c r="AD82" i="1" s="1"/>
  <c r="F82" i="1"/>
  <c r="AE82" i="1" s="1"/>
  <c r="G82" i="1"/>
  <c r="AF82" i="1" s="1"/>
  <c r="E83" i="1"/>
  <c r="AD83" i="1" s="1"/>
  <c r="F83" i="1"/>
  <c r="AE83" i="1" s="1"/>
  <c r="G83" i="1"/>
  <c r="AF83" i="1" s="1"/>
  <c r="E84" i="1"/>
  <c r="AD84" i="1" s="1"/>
  <c r="F84" i="1"/>
  <c r="AE84" i="1" s="1"/>
  <c r="G84" i="1"/>
  <c r="AF84" i="1" s="1"/>
  <c r="E85" i="1"/>
  <c r="AD85" i="1" s="1"/>
  <c r="F85" i="1"/>
  <c r="AE85" i="1" s="1"/>
  <c r="G85" i="1"/>
  <c r="AF85" i="1" s="1"/>
  <c r="E86" i="1"/>
  <c r="AD86" i="1" s="1"/>
  <c r="F86" i="1"/>
  <c r="AE86" i="1" s="1"/>
  <c r="G86" i="1"/>
  <c r="AF86" i="1" s="1"/>
  <c r="E87" i="1"/>
  <c r="AD87" i="1" s="1"/>
  <c r="F87" i="1"/>
  <c r="AE87" i="1" s="1"/>
  <c r="G87" i="1"/>
  <c r="AF87" i="1" s="1"/>
  <c r="E88" i="1"/>
  <c r="AD88" i="1" s="1"/>
  <c r="F88" i="1"/>
  <c r="AE88" i="1" s="1"/>
  <c r="G88" i="1"/>
  <c r="AF88" i="1" s="1"/>
  <c r="E89" i="1"/>
  <c r="AD89" i="1" s="1"/>
  <c r="F89" i="1"/>
  <c r="AE89" i="1" s="1"/>
  <c r="G89" i="1"/>
  <c r="AF89" i="1" s="1"/>
  <c r="E90" i="1"/>
  <c r="AD90" i="1" s="1"/>
  <c r="F90" i="1"/>
  <c r="AE90" i="1" s="1"/>
  <c r="G90" i="1"/>
  <c r="AF90" i="1" s="1"/>
  <c r="E91" i="1"/>
  <c r="AD91" i="1" s="1"/>
  <c r="F91" i="1"/>
  <c r="AE91" i="1" s="1"/>
  <c r="G91" i="1"/>
  <c r="AF91" i="1" s="1"/>
  <c r="E93" i="1"/>
  <c r="AD93" i="1" s="1"/>
  <c r="F93" i="1"/>
  <c r="AE93" i="1" s="1"/>
  <c r="G93" i="1"/>
  <c r="AF93" i="1" s="1"/>
  <c r="E94" i="1"/>
  <c r="AD94" i="1" s="1"/>
  <c r="F94" i="1"/>
  <c r="AE94" i="1" s="1"/>
  <c r="G94" i="1"/>
  <c r="AF94" i="1" s="1"/>
  <c r="E97" i="1"/>
  <c r="AD97" i="1" s="1"/>
  <c r="F97" i="1"/>
  <c r="AE97" i="1" s="1"/>
  <c r="G97" i="1"/>
  <c r="AF97" i="1" s="1"/>
  <c r="E98" i="1"/>
  <c r="AD98" i="1" s="1"/>
  <c r="F98" i="1"/>
  <c r="AE98" i="1" s="1"/>
  <c r="G98" i="1"/>
  <c r="AF98" i="1" s="1"/>
  <c r="E99" i="1"/>
  <c r="AD99" i="1" s="1"/>
  <c r="F99" i="1"/>
  <c r="AE99" i="1" s="1"/>
  <c r="G99" i="1"/>
  <c r="AF99" i="1" s="1"/>
  <c r="E100" i="1"/>
  <c r="AD100" i="1" s="1"/>
  <c r="F100" i="1"/>
  <c r="AE100" i="1" s="1"/>
  <c r="G100" i="1"/>
  <c r="AF100" i="1" s="1"/>
  <c r="E101" i="1"/>
  <c r="AD101" i="1" s="1"/>
  <c r="F101" i="1"/>
  <c r="AE101" i="1" s="1"/>
  <c r="G101" i="1"/>
  <c r="AF101" i="1" s="1"/>
  <c r="E102" i="1"/>
  <c r="AD102" i="1" s="1"/>
  <c r="F102" i="1"/>
  <c r="AE102" i="1" s="1"/>
  <c r="G102" i="1"/>
  <c r="AF102" i="1" s="1"/>
  <c r="E103" i="1"/>
  <c r="AD103" i="1" s="1"/>
  <c r="F103" i="1"/>
  <c r="AE103" i="1" s="1"/>
  <c r="G103" i="1"/>
  <c r="AF103" i="1" s="1"/>
  <c r="E104" i="1"/>
  <c r="AD104" i="1" s="1"/>
  <c r="F104" i="1"/>
  <c r="AE104" i="1" s="1"/>
  <c r="G104" i="1"/>
  <c r="AF104" i="1" s="1"/>
  <c r="E105" i="1"/>
  <c r="AD105" i="1" s="1"/>
  <c r="F105" i="1"/>
  <c r="AE105" i="1" s="1"/>
  <c r="G105" i="1"/>
  <c r="AF105" i="1" s="1"/>
  <c r="E107" i="1"/>
  <c r="AD107" i="1" s="1"/>
  <c r="F107" i="1"/>
  <c r="AE107" i="1" s="1"/>
  <c r="G107" i="1"/>
  <c r="AF107" i="1" s="1"/>
  <c r="E108" i="1"/>
  <c r="AD108" i="1" s="1"/>
  <c r="F108" i="1"/>
  <c r="AE108" i="1" s="1"/>
  <c r="G108" i="1"/>
  <c r="AF108" i="1" s="1"/>
  <c r="E109" i="1"/>
  <c r="AD109" i="1" s="1"/>
  <c r="F109" i="1"/>
  <c r="AE109" i="1" s="1"/>
  <c r="G109" i="1"/>
  <c r="AF109" i="1" s="1"/>
  <c r="E110" i="1"/>
  <c r="AD110" i="1" s="1"/>
  <c r="F110" i="1"/>
  <c r="AE110" i="1" s="1"/>
  <c r="G110" i="1"/>
  <c r="AF110" i="1" s="1"/>
  <c r="E111" i="1"/>
  <c r="AD111" i="1" s="1"/>
  <c r="F111" i="1"/>
  <c r="AE111" i="1" s="1"/>
  <c r="G111" i="1"/>
  <c r="AF111" i="1" s="1"/>
  <c r="E112" i="1"/>
  <c r="AD112" i="1" s="1"/>
  <c r="F112" i="1"/>
  <c r="AE112" i="1" s="1"/>
  <c r="G112" i="1"/>
  <c r="AF112" i="1" s="1"/>
  <c r="E113" i="1"/>
  <c r="AD113" i="1" s="1"/>
  <c r="F113" i="1"/>
  <c r="AE113" i="1" s="1"/>
  <c r="G113" i="1"/>
  <c r="AF113" i="1" s="1"/>
  <c r="E114" i="1"/>
  <c r="AD114" i="1" s="1"/>
  <c r="F114" i="1"/>
  <c r="AE114" i="1" s="1"/>
  <c r="G114" i="1"/>
  <c r="AF114" i="1" s="1"/>
  <c r="E115" i="1"/>
  <c r="AD115" i="1" s="1"/>
  <c r="F115" i="1"/>
  <c r="AE115" i="1" s="1"/>
  <c r="G115" i="1"/>
  <c r="AF115" i="1" s="1"/>
  <c r="E116" i="1"/>
  <c r="AD116" i="1" s="1"/>
  <c r="F116" i="1"/>
  <c r="AE116" i="1" s="1"/>
  <c r="G116" i="1"/>
  <c r="AF116" i="1" s="1"/>
  <c r="E117" i="1"/>
  <c r="AD117" i="1" s="1"/>
  <c r="F117" i="1"/>
  <c r="AE117" i="1" s="1"/>
  <c r="G117" i="1"/>
  <c r="AF117" i="1" s="1"/>
  <c r="E118" i="1"/>
  <c r="AD118" i="1" s="1"/>
  <c r="F118" i="1"/>
  <c r="AE118" i="1" s="1"/>
  <c r="G118" i="1"/>
  <c r="AF118" i="1" s="1"/>
  <c r="E119" i="1"/>
  <c r="AD119" i="1" s="1"/>
  <c r="F119" i="1"/>
  <c r="AE119" i="1" s="1"/>
  <c r="G119" i="1"/>
  <c r="AF119" i="1" s="1"/>
  <c r="E120" i="1"/>
  <c r="AD120" i="1" s="1"/>
  <c r="F120" i="1"/>
  <c r="AE120" i="1" s="1"/>
  <c r="G120" i="1"/>
  <c r="AF120" i="1" s="1"/>
  <c r="E121" i="1"/>
  <c r="AD121" i="1" s="1"/>
  <c r="F121" i="1"/>
  <c r="AE121" i="1" s="1"/>
  <c r="G121" i="1"/>
  <c r="AF121" i="1" s="1"/>
  <c r="E122" i="1"/>
  <c r="AD122" i="1" s="1"/>
  <c r="F122" i="1"/>
  <c r="AE122" i="1" s="1"/>
  <c r="G122" i="1"/>
  <c r="AF122" i="1" s="1"/>
  <c r="E123" i="1"/>
  <c r="AD123" i="1" s="1"/>
  <c r="F123" i="1"/>
  <c r="AE123" i="1" s="1"/>
  <c r="G123" i="1"/>
  <c r="AF123" i="1" s="1"/>
  <c r="E124" i="1"/>
  <c r="AD124" i="1" s="1"/>
  <c r="F124" i="1"/>
  <c r="AE124" i="1" s="1"/>
  <c r="G124" i="1"/>
  <c r="AF124" i="1" s="1"/>
  <c r="E125" i="1"/>
  <c r="AD125" i="1" s="1"/>
  <c r="F125" i="1"/>
  <c r="AE125" i="1" s="1"/>
  <c r="G125" i="1"/>
  <c r="AF125" i="1" s="1"/>
  <c r="E126" i="1"/>
  <c r="AD126" i="1" s="1"/>
  <c r="F126" i="1"/>
  <c r="AE126" i="1" s="1"/>
  <c r="G126" i="1"/>
  <c r="AF126" i="1" s="1"/>
  <c r="E128" i="1"/>
  <c r="AD128" i="1" s="1"/>
  <c r="F128" i="1"/>
  <c r="AE128" i="1" s="1"/>
  <c r="G128" i="1"/>
  <c r="AF128" i="1" s="1"/>
  <c r="E129" i="1"/>
  <c r="AD129" i="1" s="1"/>
  <c r="F129" i="1"/>
  <c r="AE129" i="1" s="1"/>
  <c r="G129" i="1"/>
  <c r="AF129" i="1" s="1"/>
  <c r="E130" i="1"/>
  <c r="AD130" i="1" s="1"/>
  <c r="F130" i="1"/>
  <c r="AE130" i="1" s="1"/>
  <c r="G130" i="1"/>
  <c r="AF130" i="1" s="1"/>
  <c r="E131" i="1"/>
  <c r="AD131" i="1" s="1"/>
  <c r="F131" i="1"/>
  <c r="AE131" i="1" s="1"/>
  <c r="G131" i="1"/>
  <c r="AF131" i="1" s="1"/>
  <c r="E132" i="1"/>
  <c r="AD132" i="1" s="1"/>
  <c r="F132" i="1"/>
  <c r="AE132" i="1" s="1"/>
  <c r="G132" i="1"/>
  <c r="AF132" i="1" s="1"/>
  <c r="E133" i="1"/>
  <c r="AD133" i="1" s="1"/>
  <c r="F133" i="1"/>
  <c r="AE133" i="1" s="1"/>
  <c r="G133" i="1"/>
  <c r="AF133" i="1" s="1"/>
  <c r="E134" i="1"/>
  <c r="AD134" i="1" s="1"/>
  <c r="F134" i="1"/>
  <c r="AE134" i="1" s="1"/>
  <c r="G134" i="1"/>
  <c r="AF134" i="1" s="1"/>
  <c r="E136" i="1"/>
  <c r="AD136" i="1" s="1"/>
  <c r="F136" i="1"/>
  <c r="AE136" i="1" s="1"/>
  <c r="G136" i="1"/>
  <c r="AF136" i="1" s="1"/>
  <c r="E137" i="1"/>
  <c r="AD137" i="1" s="1"/>
  <c r="F137" i="1"/>
  <c r="AE137" i="1" s="1"/>
  <c r="G137" i="1"/>
  <c r="AF137" i="1" s="1"/>
  <c r="E138" i="1"/>
  <c r="AD138" i="1" s="1"/>
  <c r="F138" i="1"/>
  <c r="AE138" i="1" s="1"/>
  <c r="G138" i="1"/>
  <c r="AF138" i="1" s="1"/>
  <c r="E139" i="1"/>
  <c r="AD139" i="1" s="1"/>
  <c r="F139" i="1"/>
  <c r="AE139" i="1" s="1"/>
  <c r="G139" i="1"/>
  <c r="AF139" i="1" s="1"/>
  <c r="E140" i="1"/>
  <c r="AD140" i="1" s="1"/>
  <c r="F140" i="1"/>
  <c r="AE140" i="1" s="1"/>
  <c r="G140" i="1"/>
  <c r="AF140" i="1" s="1"/>
  <c r="E141" i="1"/>
  <c r="AD141" i="1" s="1"/>
  <c r="F141" i="1"/>
  <c r="AE141" i="1" s="1"/>
  <c r="G141" i="1"/>
  <c r="AF141" i="1" s="1"/>
  <c r="E142" i="1"/>
  <c r="AD142" i="1" s="1"/>
  <c r="F142" i="1"/>
  <c r="AE142" i="1" s="1"/>
  <c r="G142" i="1"/>
  <c r="AF142" i="1" s="1"/>
  <c r="E143" i="1"/>
  <c r="AD143" i="1" s="1"/>
  <c r="F143" i="1"/>
  <c r="AE143" i="1" s="1"/>
  <c r="G143" i="1"/>
  <c r="AF143" i="1" s="1"/>
  <c r="E144" i="1"/>
  <c r="AD144" i="1" s="1"/>
  <c r="F144" i="1"/>
  <c r="AE144" i="1" s="1"/>
  <c r="G144" i="1"/>
  <c r="AF144" i="1" s="1"/>
  <c r="E145" i="1"/>
  <c r="AD145" i="1" s="1"/>
  <c r="F145" i="1"/>
  <c r="AE145" i="1" s="1"/>
  <c r="G145" i="1"/>
  <c r="AF145" i="1" s="1"/>
  <c r="E146" i="1"/>
  <c r="AD146" i="1" s="1"/>
  <c r="F146" i="1"/>
  <c r="AE146" i="1" s="1"/>
  <c r="G146" i="1"/>
  <c r="AF146" i="1" s="1"/>
  <c r="E147" i="1"/>
  <c r="AD147" i="1" s="1"/>
  <c r="F147" i="1"/>
  <c r="AE147" i="1" s="1"/>
  <c r="G147" i="1"/>
  <c r="AF147" i="1" s="1"/>
  <c r="E148" i="1"/>
  <c r="AD148" i="1" s="1"/>
  <c r="F148" i="1"/>
  <c r="AE148" i="1" s="1"/>
  <c r="G148" i="1"/>
  <c r="AF148" i="1" s="1"/>
  <c r="E150" i="1"/>
  <c r="AD150" i="1" s="1"/>
  <c r="F150" i="1"/>
  <c r="AE150" i="1" s="1"/>
  <c r="G150" i="1"/>
  <c r="AF150" i="1" s="1"/>
  <c r="E151" i="1"/>
  <c r="AD151" i="1" s="1"/>
  <c r="F151" i="1"/>
  <c r="AE151" i="1" s="1"/>
  <c r="G151" i="1"/>
  <c r="AF151" i="1" s="1"/>
  <c r="E152" i="1"/>
  <c r="AD152" i="1" s="1"/>
  <c r="F152" i="1"/>
  <c r="AE152" i="1" s="1"/>
  <c r="G152" i="1"/>
  <c r="AF152" i="1" s="1"/>
  <c r="E154" i="1"/>
  <c r="AD154" i="1" s="1"/>
  <c r="F154" i="1"/>
  <c r="AE154" i="1" s="1"/>
  <c r="G154" i="1"/>
  <c r="AF154" i="1" s="1"/>
  <c r="E156" i="1"/>
  <c r="AD156" i="1" s="1"/>
  <c r="F156" i="1"/>
  <c r="AE156" i="1" s="1"/>
  <c r="G156" i="1"/>
  <c r="AF156" i="1" s="1"/>
  <c r="E157" i="1"/>
  <c r="AD157" i="1" s="1"/>
  <c r="F157" i="1"/>
  <c r="AE157" i="1" s="1"/>
  <c r="G157" i="1"/>
  <c r="AF157" i="1" s="1"/>
  <c r="E158" i="1"/>
  <c r="AD158" i="1" s="1"/>
  <c r="F158" i="1"/>
  <c r="AE158" i="1" s="1"/>
  <c r="G158" i="1"/>
  <c r="AF158" i="1" s="1"/>
  <c r="E159" i="1"/>
  <c r="AD159" i="1" s="1"/>
  <c r="F159" i="1"/>
  <c r="AE159" i="1" s="1"/>
  <c r="G159" i="1"/>
  <c r="AF159" i="1" s="1"/>
  <c r="E160" i="1"/>
  <c r="AD160" i="1" s="1"/>
  <c r="F160" i="1"/>
  <c r="AE160" i="1" s="1"/>
  <c r="G160" i="1"/>
  <c r="AF160" i="1" s="1"/>
  <c r="E161" i="1"/>
  <c r="AD161" i="1" s="1"/>
  <c r="F161" i="1"/>
  <c r="AE161" i="1" s="1"/>
  <c r="G161" i="1"/>
  <c r="AF161" i="1" s="1"/>
  <c r="E162" i="1"/>
  <c r="AD162" i="1" s="1"/>
  <c r="F162" i="1"/>
  <c r="AE162" i="1" s="1"/>
  <c r="G162" i="1"/>
  <c r="AF162" i="1" s="1"/>
  <c r="E163" i="1"/>
  <c r="AD163" i="1" s="1"/>
  <c r="F163" i="1"/>
  <c r="AE163" i="1" s="1"/>
  <c r="G163" i="1"/>
  <c r="AF163" i="1" s="1"/>
  <c r="E164" i="1"/>
  <c r="AD164" i="1" s="1"/>
  <c r="F164" i="1"/>
  <c r="AE164" i="1" s="1"/>
  <c r="G164" i="1"/>
  <c r="AF164" i="1" s="1"/>
  <c r="E165" i="1"/>
  <c r="AD165" i="1" s="1"/>
  <c r="F165" i="1"/>
  <c r="AE165" i="1" s="1"/>
  <c r="G165" i="1"/>
  <c r="AF165" i="1" s="1"/>
  <c r="E166" i="1"/>
  <c r="AD166" i="1" s="1"/>
  <c r="F166" i="1"/>
  <c r="AE166" i="1" s="1"/>
  <c r="G166" i="1"/>
  <c r="AF166" i="1" s="1"/>
  <c r="E167" i="1"/>
  <c r="AD167" i="1" s="1"/>
  <c r="F167" i="1"/>
  <c r="AE167" i="1" s="1"/>
  <c r="G167" i="1"/>
  <c r="AF167" i="1" s="1"/>
  <c r="E168" i="1"/>
  <c r="AD168" i="1" s="1"/>
  <c r="F168" i="1"/>
  <c r="AE168" i="1" s="1"/>
  <c r="G168" i="1"/>
  <c r="AF168" i="1" s="1"/>
  <c r="E169" i="1"/>
  <c r="AD169" i="1" s="1"/>
  <c r="F169" i="1"/>
  <c r="AE169" i="1" s="1"/>
  <c r="G169" i="1"/>
  <c r="AF169" i="1" s="1"/>
  <c r="E171" i="1"/>
  <c r="AD171" i="1" s="1"/>
  <c r="F171" i="1"/>
  <c r="AE171" i="1" s="1"/>
  <c r="G171" i="1"/>
  <c r="AF171" i="1" s="1"/>
  <c r="E172" i="1"/>
  <c r="AD172" i="1" s="1"/>
  <c r="F172" i="1"/>
  <c r="AE172" i="1" s="1"/>
  <c r="G172" i="1"/>
  <c r="AF172" i="1" s="1"/>
  <c r="E173" i="1"/>
  <c r="AD173" i="1" s="1"/>
  <c r="F173" i="1"/>
  <c r="AE173" i="1" s="1"/>
  <c r="G173" i="1"/>
  <c r="AF173" i="1" s="1"/>
  <c r="E174" i="1"/>
  <c r="AD174" i="1" s="1"/>
  <c r="F174" i="1"/>
  <c r="AE174" i="1" s="1"/>
  <c r="G174" i="1"/>
  <c r="AF174" i="1" s="1"/>
  <c r="E175" i="1"/>
  <c r="AD175" i="1" s="1"/>
  <c r="F175" i="1"/>
  <c r="AE175" i="1" s="1"/>
  <c r="G175" i="1"/>
  <c r="AF175" i="1" s="1"/>
  <c r="E176" i="1"/>
  <c r="AD176" i="1" s="1"/>
  <c r="F176" i="1"/>
  <c r="AE176" i="1" s="1"/>
  <c r="G176" i="1"/>
  <c r="AF176" i="1" s="1"/>
  <c r="E177" i="1"/>
  <c r="AD177" i="1" s="1"/>
  <c r="F177" i="1"/>
  <c r="AE177" i="1" s="1"/>
  <c r="G177" i="1"/>
  <c r="AF177" i="1" s="1"/>
  <c r="E178" i="1"/>
  <c r="AD178" i="1" s="1"/>
  <c r="F178" i="1"/>
  <c r="AE178" i="1" s="1"/>
  <c r="G178" i="1"/>
  <c r="AF178" i="1" s="1"/>
  <c r="E179" i="1"/>
  <c r="AD179" i="1" s="1"/>
  <c r="F179" i="1"/>
  <c r="AE179" i="1" s="1"/>
  <c r="G179" i="1"/>
  <c r="AF179" i="1" s="1"/>
  <c r="E180" i="1"/>
  <c r="AD180" i="1" s="1"/>
  <c r="F180" i="1"/>
  <c r="AE180" i="1" s="1"/>
  <c r="G180" i="1"/>
  <c r="AF180" i="1" s="1"/>
  <c r="E181" i="1"/>
  <c r="AD181" i="1" s="1"/>
  <c r="F181" i="1"/>
  <c r="AE181" i="1" s="1"/>
  <c r="G181" i="1"/>
  <c r="AF181" i="1" s="1"/>
  <c r="E182" i="1"/>
  <c r="AD182" i="1" s="1"/>
  <c r="F182" i="1"/>
  <c r="AE182" i="1" s="1"/>
  <c r="G182" i="1"/>
  <c r="AF182" i="1" s="1"/>
  <c r="E183" i="1"/>
  <c r="AD183" i="1" s="1"/>
  <c r="F183" i="1"/>
  <c r="AE183" i="1" s="1"/>
  <c r="G183" i="1"/>
  <c r="AF183" i="1" s="1"/>
  <c r="F4" i="1"/>
  <c r="AE4" i="1" s="1"/>
  <c r="G4" i="1"/>
  <c r="AF4" i="1" s="1"/>
  <c r="E4" i="1"/>
  <c r="AD4" i="1" s="1"/>
  <c r="G3" i="1"/>
  <c r="AF3" i="1" s="1"/>
  <c r="F3" i="1"/>
  <c r="AE3" i="1" s="1"/>
  <c r="E3" i="1"/>
  <c r="AD3" i="1" s="1"/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4" i="2"/>
  <c r="E168" i="2"/>
  <c r="B168" i="2"/>
  <c r="C167" i="2"/>
  <c r="D167" i="2" s="1"/>
  <c r="C166" i="2"/>
  <c r="D166" i="2" s="1"/>
  <c r="D165" i="2"/>
  <c r="C165" i="2"/>
  <c r="C164" i="2"/>
  <c r="D164" i="2" s="1"/>
  <c r="C163" i="2"/>
  <c r="D163" i="2" s="1"/>
  <c r="C162" i="2"/>
  <c r="D162" i="2" s="1"/>
  <c r="D161" i="2"/>
  <c r="C161" i="2"/>
  <c r="D160" i="2"/>
  <c r="C160" i="2"/>
  <c r="C159" i="2"/>
  <c r="D159" i="2" s="1"/>
  <c r="C158" i="2"/>
  <c r="D158" i="2" s="1"/>
  <c r="D157" i="2"/>
  <c r="C157" i="2"/>
  <c r="D156" i="2"/>
  <c r="C156" i="2"/>
  <c r="C155" i="2"/>
  <c r="D155" i="2" s="1"/>
  <c r="C154" i="2"/>
  <c r="D154" i="2" s="1"/>
  <c r="C153" i="2"/>
  <c r="D153" i="2" s="1"/>
  <c r="D152" i="2"/>
  <c r="C152" i="2"/>
  <c r="C151" i="2"/>
  <c r="D151" i="2" s="1"/>
  <c r="C150" i="2"/>
  <c r="D150" i="2" s="1"/>
  <c r="D149" i="2"/>
  <c r="C149" i="2"/>
  <c r="C148" i="2"/>
  <c r="D148" i="2" s="1"/>
  <c r="C147" i="2"/>
  <c r="D147" i="2" s="1"/>
  <c r="C146" i="2"/>
  <c r="D146" i="2" s="1"/>
  <c r="D145" i="2"/>
  <c r="C145" i="2"/>
  <c r="D144" i="2"/>
  <c r="C144" i="2"/>
  <c r="C143" i="2"/>
  <c r="D143" i="2" s="1"/>
  <c r="C142" i="2"/>
  <c r="D142" i="2" s="1"/>
  <c r="D141" i="2"/>
  <c r="C141" i="2"/>
  <c r="D140" i="2"/>
  <c r="C140" i="2"/>
  <c r="C139" i="2"/>
  <c r="D139" i="2" s="1"/>
  <c r="C138" i="2"/>
  <c r="D138" i="2" s="1"/>
  <c r="C137" i="2"/>
  <c r="D137" i="2" s="1"/>
  <c r="D136" i="2"/>
  <c r="C136" i="2"/>
  <c r="C135" i="2"/>
  <c r="D135" i="2" s="1"/>
  <c r="C134" i="2"/>
  <c r="D134" i="2" s="1"/>
  <c r="D133" i="2"/>
  <c r="C133" i="2"/>
  <c r="C132" i="2"/>
  <c r="D132" i="2" s="1"/>
  <c r="C131" i="2"/>
  <c r="D131" i="2" s="1"/>
  <c r="C130" i="2"/>
  <c r="D130" i="2" s="1"/>
  <c r="D129" i="2"/>
  <c r="C129" i="2"/>
  <c r="D128" i="2"/>
  <c r="C128" i="2"/>
  <c r="C127" i="2"/>
  <c r="D127" i="2" s="1"/>
  <c r="C126" i="2"/>
  <c r="D126" i="2" s="1"/>
  <c r="D125" i="2"/>
  <c r="C125" i="2"/>
  <c r="D124" i="2"/>
  <c r="C124" i="2"/>
  <c r="C123" i="2"/>
  <c r="D123" i="2" s="1"/>
  <c r="C122" i="2"/>
  <c r="D122" i="2" s="1"/>
  <c r="C121" i="2"/>
  <c r="D121" i="2" s="1"/>
  <c r="D120" i="2"/>
  <c r="C120" i="2"/>
  <c r="C119" i="2"/>
  <c r="D119" i="2" s="1"/>
  <c r="C118" i="2"/>
  <c r="D118" i="2" s="1"/>
  <c r="D117" i="2"/>
  <c r="C117" i="2"/>
  <c r="C116" i="2"/>
  <c r="D116" i="2" s="1"/>
  <c r="C115" i="2"/>
  <c r="D115" i="2" s="1"/>
  <c r="C114" i="2"/>
  <c r="D114" i="2" s="1"/>
  <c r="D113" i="2"/>
  <c r="C113" i="2"/>
  <c r="D112" i="2"/>
  <c r="C112" i="2"/>
  <c r="C111" i="2"/>
  <c r="D111" i="2" s="1"/>
  <c r="C110" i="2"/>
  <c r="D110" i="2" s="1"/>
  <c r="D109" i="2"/>
  <c r="C109" i="2"/>
  <c r="D108" i="2"/>
  <c r="C108" i="2"/>
  <c r="C107" i="2"/>
  <c r="D107" i="2" s="1"/>
  <c r="C106" i="2"/>
  <c r="D106" i="2" s="1"/>
  <c r="C105" i="2"/>
  <c r="D105" i="2" s="1"/>
  <c r="D104" i="2"/>
  <c r="C104" i="2"/>
  <c r="C103" i="2"/>
  <c r="D103" i="2" s="1"/>
  <c r="C102" i="2"/>
  <c r="D102" i="2" s="1"/>
  <c r="D101" i="2"/>
  <c r="C101" i="2"/>
  <c r="C100" i="2"/>
  <c r="D100" i="2" s="1"/>
  <c r="C99" i="2"/>
  <c r="D99" i="2" s="1"/>
  <c r="C98" i="2"/>
  <c r="D98" i="2" s="1"/>
  <c r="D97" i="2"/>
  <c r="C97" i="2"/>
  <c r="D96" i="2"/>
  <c r="C96" i="2"/>
  <c r="C95" i="2"/>
  <c r="D95" i="2" s="1"/>
  <c r="C94" i="2"/>
  <c r="D94" i="2" s="1"/>
  <c r="D93" i="2"/>
  <c r="C93" i="2"/>
  <c r="D92" i="2"/>
  <c r="C92" i="2"/>
  <c r="C91" i="2"/>
  <c r="D91" i="2" s="1"/>
  <c r="C90" i="2"/>
  <c r="D90" i="2" s="1"/>
  <c r="C89" i="2"/>
  <c r="D89" i="2" s="1"/>
  <c r="D88" i="2"/>
  <c r="C88" i="2"/>
  <c r="C87" i="2"/>
  <c r="D87" i="2" s="1"/>
  <c r="C86" i="2"/>
  <c r="D86" i="2" s="1"/>
  <c r="D85" i="2"/>
  <c r="C85" i="2"/>
  <c r="C84" i="2"/>
  <c r="D84" i="2" s="1"/>
  <c r="C83" i="2"/>
  <c r="D83" i="2" s="1"/>
  <c r="C82" i="2"/>
  <c r="D82" i="2" s="1"/>
  <c r="D81" i="2"/>
  <c r="C81" i="2"/>
  <c r="D80" i="2"/>
  <c r="C80" i="2"/>
  <c r="C79" i="2"/>
  <c r="D79" i="2" s="1"/>
  <c r="C78" i="2"/>
  <c r="D78" i="2" s="1"/>
  <c r="D77" i="2"/>
  <c r="C77" i="2"/>
  <c r="D76" i="2"/>
  <c r="C76" i="2"/>
  <c r="C75" i="2"/>
  <c r="D75" i="2" s="1"/>
  <c r="C74" i="2"/>
  <c r="D74" i="2" s="1"/>
  <c r="C73" i="2"/>
  <c r="D73" i="2" s="1"/>
  <c r="D72" i="2"/>
  <c r="C72" i="2"/>
  <c r="C71" i="2"/>
  <c r="D71" i="2" s="1"/>
  <c r="C70" i="2"/>
  <c r="D70" i="2" s="1"/>
  <c r="D69" i="2"/>
  <c r="C69" i="2"/>
  <c r="C68" i="2"/>
  <c r="D68" i="2" s="1"/>
  <c r="C67" i="2"/>
  <c r="D67" i="2" s="1"/>
  <c r="C66" i="2"/>
  <c r="D66" i="2" s="1"/>
  <c r="D65" i="2"/>
  <c r="C65" i="2"/>
  <c r="D64" i="2"/>
  <c r="C64" i="2"/>
  <c r="C63" i="2"/>
  <c r="D63" i="2" s="1"/>
  <c r="C62" i="2"/>
  <c r="D62" i="2" s="1"/>
  <c r="D61" i="2"/>
  <c r="C61" i="2"/>
  <c r="D60" i="2"/>
  <c r="C60" i="2"/>
  <c r="C59" i="2"/>
  <c r="D59" i="2" s="1"/>
  <c r="C58" i="2"/>
  <c r="D58" i="2" s="1"/>
  <c r="C57" i="2"/>
  <c r="D57" i="2" s="1"/>
  <c r="D56" i="2"/>
  <c r="C56" i="2"/>
  <c r="C55" i="2"/>
  <c r="D55" i="2" s="1"/>
  <c r="C54" i="2"/>
  <c r="D54" i="2" s="1"/>
  <c r="D53" i="2"/>
  <c r="C53" i="2"/>
  <c r="C52" i="2"/>
  <c r="D52" i="2" s="1"/>
  <c r="C51" i="2"/>
  <c r="D51" i="2" s="1"/>
  <c r="C50" i="2"/>
  <c r="D50" i="2" s="1"/>
  <c r="D49" i="2"/>
  <c r="C49" i="2"/>
  <c r="D48" i="2"/>
  <c r="C48" i="2"/>
  <c r="C47" i="2"/>
  <c r="D47" i="2" s="1"/>
  <c r="C46" i="2"/>
  <c r="D46" i="2" s="1"/>
  <c r="D45" i="2"/>
  <c r="C45" i="2"/>
  <c r="D44" i="2"/>
  <c r="C44" i="2"/>
  <c r="C43" i="2"/>
  <c r="D43" i="2" s="1"/>
  <c r="C42" i="2"/>
  <c r="D42" i="2" s="1"/>
  <c r="C41" i="2"/>
  <c r="D41" i="2" s="1"/>
  <c r="D40" i="2"/>
  <c r="C40" i="2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D33" i="2"/>
  <c r="C33" i="2"/>
  <c r="C32" i="2"/>
  <c r="D32" i="2" s="1"/>
  <c r="C31" i="2"/>
  <c r="D31" i="2" s="1"/>
  <c r="C30" i="2"/>
  <c r="D30" i="2" s="1"/>
  <c r="D29" i="2"/>
  <c r="C29" i="2"/>
  <c r="D28" i="2"/>
  <c r="C28" i="2"/>
  <c r="C27" i="2"/>
  <c r="D27" i="2" s="1"/>
  <c r="C26" i="2"/>
  <c r="D26" i="2" s="1"/>
  <c r="C25" i="2"/>
  <c r="D25" i="2" s="1"/>
  <c r="D24" i="2"/>
  <c r="C24" i="2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D17" i="2"/>
  <c r="C17" i="2"/>
  <c r="C16" i="2"/>
  <c r="D16" i="2" s="1"/>
  <c r="C15" i="2"/>
  <c r="D15" i="2" s="1"/>
  <c r="C14" i="2"/>
  <c r="D14" i="2" s="1"/>
  <c r="D13" i="2"/>
  <c r="C13" i="2"/>
  <c r="D11" i="2"/>
  <c r="C11" i="2"/>
  <c r="C10" i="2"/>
  <c r="D10" i="2" s="1"/>
  <c r="C9" i="2"/>
  <c r="D9" i="2" s="1"/>
  <c r="C8" i="2"/>
  <c r="D8" i="2" s="1"/>
  <c r="D7" i="2"/>
  <c r="C7" i="2"/>
  <c r="C6" i="2"/>
  <c r="D6" i="2" s="1"/>
  <c r="C5" i="2"/>
  <c r="D5" i="2" s="1"/>
  <c r="C4" i="2"/>
  <c r="C168" i="2" l="1"/>
  <c r="D4" i="2"/>
  <c r="D1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Paolo Gabrielli</author>
  </authors>
  <commentList>
    <comment ref="D5" authorId="0" shapeId="0" xr:uid="{C6DED512-2BDA-44FE-B7C4-24FA83CC0F7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https://doi.org/10.1186/s12302-019-0254-5</t>
        </r>
      </text>
    </comment>
    <comment ref="D26" authorId="0" shapeId="0" xr:uid="{73463718-3772-42B3-8A76-4032F276A902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https://www.statista.com/statistics/486298/processed-plastics-production-in-brazil/</t>
        </r>
      </text>
    </comment>
    <comment ref="C68" authorId="0" shapeId="0" xr:uid="{C3580678-DDAB-4D61-8F9E-52473BCBE67E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https://doi.org/10.1016/j.rser.2016.02.021</t>
        </r>
      </text>
    </comment>
    <comment ref="D78" authorId="0" shapeId="0" xr:uid="{4432BC77-599B-43E1-9F5F-16B3498BF8C3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https://www.cenfa.org/making-plastics-in-india-trends-in-the-industry/#:~:text=In%202018%2D19%2C%20the%20production,plastic%20production%20has%20substantially%20increased.</t>
        </r>
      </text>
    </comment>
    <comment ref="C79" authorId="0" shapeId="0" xr:uid="{FE5C8BCD-DF4A-4B61-81E4-FED94B42BF7D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https://doi.org/10.1088/1755-1315/882/1/012073</t>
        </r>
      </text>
    </comment>
    <comment ref="C80" authorId="0" shapeId="0" xr:uid="{86D2DAAD-AF71-4AC0-A773-5E9E5812E262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https://www.spglobal.com/commodityinsights/en/market-insights/blogs/petrochemicals/111820-methanol-us-iran-sanctions-china-decarbonization-shipping#:~:text=Iranian%20methanol%20capacity%20has%20almost,facilities%2C%20both%20located%20in%20Assaluyeh.</t>
        </r>
      </text>
    </comment>
    <comment ref="C167" authorId="0" shapeId="0" xr:uid="{DEF99DBA-9C11-4DE8-B3F9-9DCF7F03857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https://www.energy.gov.tt/our-business/lng-petrochemicals/petrochemicals/methanol/#:~:text=Methanol%20Holdings%20(Trinidad)%20Limited%20(,the%20Point%20Lisas%20Industrial%20Estate.</t>
        </r>
      </text>
    </comment>
    <comment ref="D189" authorId="0" shapeId="0" xr:uid="{3BB8940B-7736-4576-A25F-C21E265BAF1E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https://doi.org/10.1186/s12302-019-0254-5</t>
        </r>
      </text>
    </comment>
    <comment ref="E189" authorId="0" shapeId="0" xr:uid="{12827B77-75A8-426E-83E0-84DD3035F75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https://doi.org/10.1186/s12302-019-0254-5</t>
        </r>
      </text>
    </comment>
    <comment ref="D210" authorId="0" shapeId="0" xr:uid="{CD72B06D-2A99-408C-8EF3-6555C69DF32B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https://www.statista.com/statistics/486298/processed-plastics-production-in-brazil/</t>
        </r>
      </text>
    </comment>
    <comment ref="E210" authorId="0" shapeId="0" xr:uid="{EFCCBC19-8E86-48D1-8C1B-9948D478AD56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https://www.statista.com/statistics/486298/processed-plastics-production-in-brazil/</t>
        </r>
      </text>
    </comment>
    <comment ref="C252" authorId="0" shapeId="0" xr:uid="{19511D24-1AE0-490F-99D0-23D47298D9E9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https://doi.org/10.1016/j.rser.2016.02.021</t>
        </r>
      </text>
    </comment>
    <comment ref="D262" authorId="0" shapeId="0" xr:uid="{51F0DCC5-330F-42FE-9DED-21131D3695E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https://www.cenfa.org/making-plastics-in-india-trends-in-the-industry/#:~:text=In%202018%2D19%2C%20the%20production,plastic%20production%20has%20substantially%20increased.</t>
        </r>
      </text>
    </comment>
    <comment ref="E262" authorId="0" shapeId="0" xr:uid="{F9E2BF5E-8274-47F4-99DF-E20CC3F4D1A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https://www.cenfa.org/making-plastics-in-india-trends-in-the-industry/#:~:text=In%202018%2D19%2C%20the%20production,plastic%20production%20has%20substantially%20increased.</t>
        </r>
      </text>
    </comment>
    <comment ref="C263" authorId="0" shapeId="0" xr:uid="{20D1ED0E-DE6B-4741-9932-D52A2496A620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https://doi.org/10.1088/1755-1315/882/1/012073</t>
        </r>
      </text>
    </comment>
    <comment ref="C264" authorId="0" shapeId="0" xr:uid="{B486E9B5-2BD7-44A9-B523-DDE8C2554AB7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https://www.spglobal.com/commodityinsights/en/market-insights/blogs/petrochemicals/111820-methanol-us-iran-sanctions-china-decarbonization-shipping#:~:text=Iranian%20methanol%20capacity%20has%20almost,facilities%2C%20both%20located%20in%20Assaluyeh.</t>
        </r>
      </text>
    </comment>
    <comment ref="C351" authorId="0" shapeId="0" xr:uid="{8F7AB2E6-100F-4711-941F-71523552C86A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https://www.energy.gov.tt/our-business/lng-petrochemicals/petrochemicals/methanol/#:~:text=Methanol%20Holdings%20(Trinidad)%20Limited%20(,the%20Point%20Lisas%20Industrial%20Estate.</t>
        </r>
      </text>
    </comment>
  </commentList>
</comments>
</file>

<file path=xl/sharedStrings.xml><?xml version="1.0" encoding="utf-8"?>
<sst xmlns="http://schemas.openxmlformats.org/spreadsheetml/2006/main" count="507" uniqueCount="220">
  <si>
    <t>Country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</si>
  <si>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</si>
  <si>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</si>
  <si>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</si>
  <si>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</si>
  <si>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</si>
  <si>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</si>
  <si>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</si>
  <si>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</si>
  <si>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</si>
  <si>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</si>
  <si>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</si>
  <si>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</si>
  <si>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</si>
  <si>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</si>
  <si>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</si>
  <si>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</si>
  <si>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</si>
  <si>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</si>
  <si>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</si>
  <si>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</si>
  <si>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</si>
  <si>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</si>
  <si>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</si>
  <si>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</si>
  <si>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</si>
  <si>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</si>
  <si>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</si>
  <si>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</si>
  <si>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</si>
  <si>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Chile</t>
  </si>
  <si>
    <t>China</t>
  </si>
  <si>
    <t>China, Taiwan Province of</t>
  </si>
  <si>
    <t>Colombia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</si>
  <si>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</si>
  <si>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</si>
  <si>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</si>
  <si>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</si>
  <si>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</si>
  <si>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</si>
  <si>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</si>
  <si>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</si>
  <si>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the Congo</t>
  </si>
  <si>
    <t>Denmark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</si>
  <si>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</si>
  <si>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</si>
  <si>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</si>
  <si>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</si>
  <si>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</si>
  <si>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</si>
  <si>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</si>
  <si>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</si>
  <si>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</si>
  <si>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</si>
  <si>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</si>
  <si>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</si>
  <si>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</si>
  <si>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</si>
  <si>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</si>
  <si>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</si>
  <si>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</si>
  <si>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</si>
  <si>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</si>
  <si>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</si>
  <si>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</si>
  <si>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</si>
  <si>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</si>
  <si>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</si>
  <si>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</si>
  <si>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</si>
  <si>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</si>
  <si>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</si>
  <si>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</si>
  <si>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</si>
  <si>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</si>
  <si>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</si>
  <si>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</si>
  <si>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</si>
  <si>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</si>
  <si>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</si>
  <si>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</si>
  <si>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</si>
  <si>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</si>
  <si>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</si>
  <si>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</si>
  <si>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</si>
  <si>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</si>
  <si>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</si>
  <si>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</si>
  <si>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</si>
  <si>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</si>
  <si>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</si>
  <si>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</si>
  <si>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</si>
  <si>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</si>
  <si>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</si>
  <si>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</si>
  <si>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</si>
  <si>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</si>
  <si>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</si>
  <si>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</si>
  <si>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</si>
  <si>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</si>
  <si>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</si>
  <si>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</si>
  <si>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</si>
  <si>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</si>
  <si>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</si>
  <si>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</si>
  <si>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</si>
  <si>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</si>
  <si>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</si>
  <si>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</si>
  <si>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</si>
  <si>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</si>
  <si>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</si>
  <si>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</si>
  <si>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</si>
  <si>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</si>
  <si>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</si>
  <si>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</si>
  <si>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</si>
  <si>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</si>
  <si>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Rwanda</t>
  </si>
  <si>
    <t>Saint Kitts and Nevis</t>
  </si>
  <si>
    <t>Saint Lucia</t>
  </si>
  <si>
    <t>Samoa</t>
  </si>
  <si>
    <t>Saudi Arabia</t>
  </si>
  <si>
    <t>Senegal</t>
  </si>
  <si>
    <t>Serbia</t>
  </si>
  <si>
    <t>Seychelles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</si>
  <si>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</si>
  <si>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</si>
  <si>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</si>
  <si>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</si>
  <si>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</si>
  <si>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</si>
  <si>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</si>
  <si>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</si>
  <si>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</si>
  <si>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</si>
  <si>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</si>
  <si>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</si>
  <si>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</si>
  <si>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</si>
  <si>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</si>
  <si>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</si>
  <si>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</si>
  <si>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</si>
  <si>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</si>
  <si>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</si>
  <si>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</si>
  <si>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</si>
  <si>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</si>
  <si>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</si>
  <si>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</si>
  <si>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</si>
  <si>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</si>
  <si>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</si>
  <si>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</si>
  <si>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</si>
  <si>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Russia</t>
  </si>
  <si>
    <t>Iran</t>
  </si>
  <si>
    <t>Austria</t>
  </si>
  <si>
    <t>Updated from Statista</t>
  </si>
  <si>
    <t>FAO nitrogen production [1,000 tNH3]</t>
  </si>
  <si>
    <t>FAO nitrogen production [1,000 tN]</t>
  </si>
  <si>
    <t>FAO nitrogen production [tN]</t>
  </si>
  <si>
    <t>FAO</t>
  </si>
  <si>
    <t>Bolivia</t>
  </si>
  <si>
    <t>Singapore</t>
  </si>
  <si>
    <t>Ammonia</t>
  </si>
  <si>
    <t>Methanol</t>
  </si>
  <si>
    <t>Plastics</t>
  </si>
  <si>
    <t>Land use intensity [m2/(t/y)]</t>
  </si>
  <si>
    <t>Water consumption intensity [m3/t]</t>
  </si>
  <si>
    <t>CO2 storage intensity [tCO2/t]</t>
  </si>
  <si>
    <t>CCS</t>
  </si>
  <si>
    <t>CCU</t>
  </si>
  <si>
    <t>Biomass</t>
  </si>
  <si>
    <t>Land use [km2]</t>
  </si>
  <si>
    <t>Water consumption [km3]</t>
  </si>
  <si>
    <t>CO2 storage requirements [MtCO2]</t>
  </si>
  <si>
    <t>Land available [km2]</t>
  </si>
  <si>
    <t>Water available [km3]</t>
  </si>
  <si>
    <t>Land scarcity ratio</t>
  </si>
  <si>
    <t>Water scarcity ratio</t>
  </si>
  <si>
    <t>Land-water scarcity matrix</t>
  </si>
  <si>
    <t>&lt;0.1</t>
  </si>
  <si>
    <t>&lt;0.5</t>
  </si>
  <si>
    <t>&lt;1</t>
  </si>
  <si>
    <t>&gt;2</t>
  </si>
  <si>
    <t>Bhutan</t>
  </si>
  <si>
    <t>Chad</t>
  </si>
  <si>
    <t>Djibouti</t>
  </si>
  <si>
    <t>Equatorial Guinea</t>
  </si>
  <si>
    <t>Eswatini</t>
  </si>
  <si>
    <t>Guinea-Bissau</t>
  </si>
  <si>
    <t>Lesotho</t>
  </si>
  <si>
    <t>Liberia</t>
  </si>
  <si>
    <t>Mauritania</t>
  </si>
  <si>
    <t>Palestine</t>
  </si>
  <si>
    <t>Puerto Rico</t>
  </si>
  <si>
    <t>Sierra Leone</t>
  </si>
  <si>
    <t>Somalia</t>
  </si>
  <si>
    <t>South Sudan</t>
  </si>
  <si>
    <t>Turkmenistan</t>
  </si>
  <si>
    <t>Current water use [km3/y]</t>
  </si>
  <si>
    <t>Current land use [km2]</t>
  </si>
  <si>
    <t>Current</t>
  </si>
  <si>
    <t>Scarcity categories</t>
  </si>
  <si>
    <t>No scarcity</t>
  </si>
  <si>
    <t>From no scarcity to scarcity</t>
  </si>
  <si>
    <t>Light scarcity exacerbation</t>
  </si>
  <si>
    <t>Heavy scarcity exacerbation</t>
  </si>
  <si>
    <t>Extreme scarcity exacerbation</t>
  </si>
  <si>
    <t>Laos</t>
  </si>
  <si>
    <t>Ammonia production in 2050 [1,000 tNH3]</t>
  </si>
  <si>
    <t>Methanol production in 2050 [1,000 tMeOH]</t>
  </si>
  <si>
    <t>Plastics production in 2050 [1,000 tP]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</si>
</sst>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Garamond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92DE"/>
      <color rgb="FFDA6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F2E9-3D75-4E6E-A824-3EAABD34642F}">
  <dimension ref="A1:BI368"/>
  <sheetViews>
    <sheetView tabSelected="1" zoomScaleNormal="100" workbookViewId="0">
      <selection activeCell="N2" sqref="N2"/>
    </sheetView>
  </sheetViews>
  <sheetFormatPr defaultRowHeight="14.4" x14ac:dyDescent="0.3"/>
  <cols>
    <col min="1" max="1" width="28.77734375" style="29" bestFit="1" customWidth="1"/>
    <col min="2" max="2" width="37.77734375" style="29" bestFit="1" customWidth="1"/>
    <col min="3" max="3" width="39.33203125" style="29" bestFit="1" customWidth="1"/>
    <col min="4" max="4" width="32.44140625" style="29" bestFit="1" customWidth="1"/>
    <col min="5" max="7" width="9.109375" style="29" customWidth="1"/>
    <col min="8" max="8" width="9.109375" style="29" bestFit="1" customWidth="1"/>
    <col min="9" max="9" width="9" style="29" bestFit="1" customWidth="1"/>
    <col min="10" max="10" width="8.88671875" style="29"/>
    <col min="11" max="11" width="10.88671875" style="29" customWidth="1"/>
    <col min="12" max="12" width="11.33203125" style="29" customWidth="1"/>
    <col min="13" max="13" width="11.109375" style="29" customWidth="1"/>
    <col min="14" max="14" width="8.88671875" style="29"/>
    <col min="15" max="15" width="19.33203125" style="29" bestFit="1" customWidth="1"/>
    <col min="16" max="16" width="19.88671875" style="29" bestFit="1" customWidth="1"/>
    <col min="17" max="17" width="20.88671875" style="29" bestFit="1" customWidth="1"/>
    <col min="18" max="18" width="23.88671875" style="29" bestFit="1" customWidth="1"/>
    <col min="19" max="28" width="8.109375" style="29" customWidth="1"/>
    <col min="29" max="29" width="9" style="29" bestFit="1" customWidth="1"/>
    <col min="30" max="30" width="9.109375" style="29" customWidth="1"/>
    <col min="31" max="32" width="8.88671875" style="29"/>
    <col min="33" max="33" width="10" style="29" bestFit="1" customWidth="1"/>
    <col min="34" max="35" width="8.88671875" style="29"/>
    <col min="36" max="36" width="11" style="29" bestFit="1" customWidth="1"/>
    <col min="37" max="38" width="8.88671875" style="29"/>
    <col min="39" max="39" width="32.109375" style="29" bestFit="1" customWidth="1"/>
    <col min="40" max="40" width="25.21875" style="29" bestFit="1" customWidth="1"/>
    <col min="41" max="41" width="9.21875" style="29" bestFit="1" customWidth="1"/>
    <col min="42" max="42" width="9.109375" style="29" bestFit="1" customWidth="1"/>
    <col min="43" max="43" width="10.109375" style="29" bestFit="1" customWidth="1"/>
    <col min="44" max="45" width="8.88671875" style="29"/>
    <col min="46" max="46" width="28.77734375" style="29" bestFit="1" customWidth="1"/>
    <col min="47" max="47" width="32.6640625" style="29" bestFit="1" customWidth="1"/>
    <col min="48" max="48" width="19.77734375" style="29" bestFit="1" customWidth="1"/>
    <col min="49" max="49" width="21.88671875" style="29" bestFit="1" customWidth="1"/>
    <col min="50" max="50" width="10.5546875" style="29" bestFit="1" customWidth="1"/>
    <col min="51" max="52" width="28.77734375" style="29" bestFit="1" customWidth="1"/>
    <col min="53" max="53" width="17.109375" style="29" bestFit="1" customWidth="1"/>
    <col min="54" max="54" width="19" style="29" bestFit="1" customWidth="1"/>
    <col min="55" max="16384" width="8.88671875" style="29"/>
  </cols>
  <sheetData>
    <row r="1" spans="1:61" s="7" customFormat="1" x14ac:dyDescent="0.3">
      <c r="A1" s="6" t="s">
        <v>0</v>
      </c>
      <c r="B1" s="6" t="s">
        <v>217</v>
      </c>
      <c r="C1" s="6" t="s">
        <v>218</v>
      </c>
      <c r="D1" s="6" t="s">
        <v>219</v>
      </c>
      <c r="E1" s="35" t="s">
        <v>180</v>
      </c>
      <c r="F1" s="35"/>
      <c r="G1" s="35"/>
      <c r="H1" s="35" t="s">
        <v>181</v>
      </c>
      <c r="I1" s="35"/>
      <c r="J1" s="35"/>
      <c r="K1" s="35" t="s">
        <v>182</v>
      </c>
      <c r="L1" s="35"/>
      <c r="M1" s="35"/>
      <c r="O1" s="8" t="s">
        <v>183</v>
      </c>
      <c r="P1" s="8" t="s">
        <v>184</v>
      </c>
      <c r="Q1" s="8" t="s">
        <v>208</v>
      </c>
      <c r="R1" s="8" t="s">
        <v>207</v>
      </c>
      <c r="S1" s="9"/>
      <c r="T1" s="36" t="s">
        <v>185</v>
      </c>
      <c r="U1" s="36"/>
      <c r="V1" s="36"/>
      <c r="W1" s="36"/>
      <c r="X1" s="36" t="s">
        <v>186</v>
      </c>
      <c r="Y1" s="36"/>
      <c r="Z1" s="36"/>
      <c r="AA1" s="36"/>
      <c r="AB1" s="9"/>
      <c r="AC1" s="36" t="s">
        <v>185</v>
      </c>
      <c r="AD1" s="36"/>
      <c r="AE1" s="36"/>
      <c r="AF1" s="36"/>
      <c r="AG1" s="36" t="s">
        <v>186</v>
      </c>
      <c r="AH1" s="36"/>
      <c r="AI1" s="36"/>
      <c r="AJ1" s="36"/>
      <c r="AO1" s="8" t="s">
        <v>177</v>
      </c>
      <c r="AP1" s="8" t="s">
        <v>178</v>
      </c>
      <c r="AQ1" s="8" t="s">
        <v>179</v>
      </c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</row>
    <row r="2" spans="1:61" s="7" customFormat="1" x14ac:dyDescent="0.3">
      <c r="E2" s="8" t="s">
        <v>177</v>
      </c>
      <c r="F2" s="8" t="s">
        <v>178</v>
      </c>
      <c r="G2" s="8" t="s">
        <v>179</v>
      </c>
      <c r="H2" s="8" t="s">
        <v>177</v>
      </c>
      <c r="I2" s="8" t="s">
        <v>178</v>
      </c>
      <c r="J2" s="8" t="s">
        <v>179</v>
      </c>
      <c r="K2" s="8" t="s">
        <v>177</v>
      </c>
      <c r="L2" s="8" t="s">
        <v>178</v>
      </c>
      <c r="M2" s="8" t="s">
        <v>179</v>
      </c>
      <c r="N2" s="38">
        <v>0.7</v>
      </c>
      <c r="T2" s="8" t="s">
        <v>209</v>
      </c>
      <c r="U2" s="8" t="s">
        <v>177</v>
      </c>
      <c r="V2" s="8" t="s">
        <v>178</v>
      </c>
      <c r="W2" s="8" t="s">
        <v>179</v>
      </c>
      <c r="X2" s="8" t="s">
        <v>209</v>
      </c>
      <c r="Y2" s="8" t="s">
        <v>177</v>
      </c>
      <c r="Z2" s="8" t="s">
        <v>178</v>
      </c>
      <c r="AA2" s="8" t="s">
        <v>179</v>
      </c>
      <c r="AC2" s="8" t="s">
        <v>209</v>
      </c>
      <c r="AD2" s="8" t="s">
        <v>177</v>
      </c>
      <c r="AE2" s="8" t="s">
        <v>178</v>
      </c>
      <c r="AF2" s="8" t="s">
        <v>179</v>
      </c>
      <c r="AG2" s="8" t="s">
        <v>209</v>
      </c>
      <c r="AH2" s="8" t="s">
        <v>177</v>
      </c>
      <c r="AI2" s="8" t="s">
        <v>178</v>
      </c>
      <c r="AJ2" s="8" t="s">
        <v>179</v>
      </c>
      <c r="AK2" s="9"/>
      <c r="AL2" s="9"/>
      <c r="AM2" s="34" t="s">
        <v>174</v>
      </c>
      <c r="AN2" s="4" t="s">
        <v>171</v>
      </c>
      <c r="AO2" s="10">
        <v>8.7910191666666684</v>
      </c>
      <c r="AP2" s="11">
        <v>179.83178000000004</v>
      </c>
      <c r="AQ2" s="11">
        <v>1608.0306666666668</v>
      </c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</row>
    <row r="3" spans="1:61" s="7" customFormat="1" x14ac:dyDescent="0.3">
      <c r="A3" s="7" t="s">
        <v>1</v>
      </c>
      <c r="B3" s="11">
        <v>26.404583931483462</v>
      </c>
      <c r="C3" s="11">
        <v>0</v>
      </c>
      <c r="D3" s="11">
        <v>0</v>
      </c>
      <c r="E3" s="10">
        <f t="shared" ref="E3:G4" si="0">$B3/1000*AO$2+$C3/1000*AO$3+$D3/1000*AO$4</f>
        <v>0.23212320342952986</v>
      </c>
      <c r="F3" s="10">
        <f t="shared" si="0"/>
        <v>4.7483833285580701</v>
      </c>
      <c r="G3" s="10">
        <f t="shared" si="0"/>
        <v>42.459380702399308</v>
      </c>
      <c r="H3" s="10">
        <f>($B3/1000*AO$5+$C3/1000*AO$6+$D3/1000*AO$7)/1000</f>
        <v>1.0329564549849091E-4</v>
      </c>
      <c r="I3" s="10">
        <f>($B3/1000*AP$5+$C3/1000*AP$6+$D3/1000*AP$7)/1000</f>
        <v>4.0674214135012228E-4</v>
      </c>
      <c r="J3" s="10">
        <f>($B3/1000*AQ$5+$C3/1000*AQ$6+$D3/1000*AQ$7)/1000</f>
        <v>5.1398163579508618E-2</v>
      </c>
      <c r="K3" s="10">
        <f>$B3/1000*AO$8+$C3/1000*AO$9+$D3/1000*AO$10</f>
        <v>4.7528251076670233E-2</v>
      </c>
      <c r="L3" s="10">
        <f>$B3/1000*AP$8+$C3/1000*AP$9+$D3/1000*AP$10</f>
        <v>0</v>
      </c>
      <c r="M3" s="10">
        <f>$B3/1000*AQ$8+$C3/1000*AQ$9+$D3/1000*AQ$10</f>
        <v>0</v>
      </c>
      <c r="N3" s="5">
        <v>423998.84279999998</v>
      </c>
      <c r="O3" s="11">
        <f>N3/0.663*$N$2</f>
        <v>447660.92</v>
      </c>
      <c r="P3" s="12">
        <v>13.066000000000001</v>
      </c>
      <c r="Q3" s="11">
        <v>383560</v>
      </c>
      <c r="R3" s="7">
        <v>20.282</v>
      </c>
      <c r="S3" s="12"/>
      <c r="T3" s="10">
        <f>Q3/O3</f>
        <v>0.85680921175786351</v>
      </c>
      <c r="U3" s="10">
        <f>IF($AC3&lt;1,IF(AD3&gt;=1,$AM$25,$AM$24),IF(AD3&lt;$AC3*$AO$26,$AM$26,IF(AD3&lt;$AC3*$AO$27,$AM$27,$AM$28)))</f>
        <v>1</v>
      </c>
      <c r="V3" s="10">
        <f>IF($AC3&lt;1,IF(AE3&gt;=1,$AM$25,$AM$24),IF(AE3&lt;$AC3*$AO$26,$AM$26,IF(AE3&lt;$AC3*$AO$27,$AM$27,$AM$28)))</f>
        <v>1</v>
      </c>
      <c r="W3" s="10">
        <f>IF($AC3&lt;1,IF(AF3&gt;=1,$AM$25,$AM$24),IF(AF3&lt;$AC3*$AO$26,$AM$26,IF(AF3&lt;$AC3*$AO$27,$AM$27,$AM$28)))</f>
        <v>1</v>
      </c>
      <c r="X3" s="10">
        <f>R3/P3</f>
        <v>1.5522730751568956</v>
      </c>
      <c r="Y3" s="10">
        <f>IF($AG3&lt;1,IF(AH3&gt;=1,$AM$25,$AM$24),IF(AH3&lt;$AG3*$AO$26,$AM$26,IF(AH3&lt;$AG3*$AO$27,$AM$27,$AM$28)))</f>
        <v>3</v>
      </c>
      <c r="Z3" s="10">
        <f>IF($AG3&lt;1,IF(AI3&gt;=1,$AM$25,$AM$24),IF(AI3&lt;$AG3*$AO$26,$AM$26,IF(AI3&lt;$AG3*$AO$27,$AM$27,$AM$28)))</f>
        <v>3</v>
      </c>
      <c r="AA3" s="10">
        <f>IF($AG3&lt;1,IF(AJ3&gt;=1,$AM$25,$AM$24),IF(AJ3&lt;$AG3*$AO$26,$AM$26,IF(AJ3&lt;$AG3*$AO$27,$AM$27,$AM$28)))</f>
        <v>3</v>
      </c>
      <c r="AB3" s="12"/>
      <c r="AC3" s="10">
        <f>Q3/O3</f>
        <v>0.85680921175786351</v>
      </c>
      <c r="AD3" s="10">
        <f>IF($O3&gt;0.001,($Q3+E3)/$O3,IF(E3&lt;0.001,0,10))</f>
        <v>0.85680973028247231</v>
      </c>
      <c r="AE3" s="10">
        <f>IF($O3&gt;0.001,($Q3+F3)/$O3,IF(F3&lt;0.001,0,10))</f>
        <v>0.85681981885604075</v>
      </c>
      <c r="AF3" s="10">
        <f>IF($O3&gt;0.001,($Q3+G3)/$O3,IF(G3&lt;0.001,0,10))</f>
        <v>0.85690405894868471</v>
      </c>
      <c r="AG3" s="10">
        <f>R3/P3</f>
        <v>1.5522730751568956</v>
      </c>
      <c r="AH3" s="10">
        <f>IF($P3&gt;0.001,($R3+H3)/$P3,IF(H3&lt;0.001,0,10))</f>
        <v>1.552280980839239</v>
      </c>
      <c r="AI3" s="10">
        <f t="shared" ref="AI3:AJ18" si="1">IF($P3&gt;0.001,($R3+I3)/$P3,IF(I3&lt;0.001,0,10))</f>
        <v>1.5523042049702549</v>
      </c>
      <c r="AJ3" s="10">
        <f t="shared" si="1"/>
        <v>1.5562068087845942</v>
      </c>
      <c r="AM3" s="34"/>
      <c r="AN3" s="4" t="s">
        <v>172</v>
      </c>
      <c r="AO3" s="12">
        <v>19.577595000000002</v>
      </c>
      <c r="AP3" s="11">
        <v>213.69241000000002</v>
      </c>
      <c r="AQ3" s="11">
        <v>2021.7739999999999</v>
      </c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</row>
    <row r="4" spans="1:61" s="7" customFormat="1" x14ac:dyDescent="0.3">
      <c r="A4" s="7" t="s">
        <v>2</v>
      </c>
      <c r="B4" s="11">
        <v>0</v>
      </c>
      <c r="C4" s="11">
        <v>0</v>
      </c>
      <c r="D4" s="11">
        <v>0</v>
      </c>
      <c r="E4" s="10">
        <f t="shared" si="0"/>
        <v>0</v>
      </c>
      <c r="F4" s="10">
        <f t="shared" si="0"/>
        <v>0</v>
      </c>
      <c r="G4" s="10">
        <f t="shared" si="0"/>
        <v>0</v>
      </c>
      <c r="H4" s="10">
        <f t="shared" ref="H4:H73" si="2">($B4/1000*AO$5+$C4/1000*AO$6+$D4/1000*AO$7)/1000</f>
        <v>0</v>
      </c>
      <c r="I4" s="10">
        <f t="shared" ref="I4:I73" si="3">($B4/1000*AP$5+$C4/1000*AP$6+$D4/1000*AP$7)/1000</f>
        <v>0</v>
      </c>
      <c r="J4" s="10">
        <f t="shared" ref="J4:J73" si="4">($B4/1000*AQ$5+$C4/1000*AQ$6+$D4/1000*AQ$7)/1000</f>
        <v>0</v>
      </c>
      <c r="K4" s="10">
        <f t="shared" ref="K4:K73" si="5">$B4/1000*AO$8+$C4/1000*AO$9+$D4/1000*AO$10</f>
        <v>0</v>
      </c>
      <c r="L4" s="10">
        <f t="shared" ref="L4:L73" si="6">$B4/1000*AP$8+$C4/1000*AP$9+$D4/1000*AP$10</f>
        <v>0</v>
      </c>
      <c r="M4" s="10">
        <f t="shared" ref="M4:M73" si="7">$B4/1000*AQ$8+$C4/1000*AQ$9+$D4/1000*AQ$10</f>
        <v>0</v>
      </c>
      <c r="N4" s="5">
        <v>12717.003000000001</v>
      </c>
      <c r="O4" s="11">
        <f t="shared" ref="O4:O67" si="8">N4/0.663*$N$2</f>
        <v>13426.699999999999</v>
      </c>
      <c r="P4" s="12">
        <v>6.04</v>
      </c>
      <c r="Q4" s="11">
        <v>11655.550000000001</v>
      </c>
      <c r="R4" s="7">
        <v>0.95799999999999996</v>
      </c>
      <c r="S4" s="12"/>
      <c r="T4" s="10">
        <f t="shared" ref="T4:T67" si="9">Q4/O4</f>
        <v>0.86808746750876997</v>
      </c>
      <c r="U4" s="10">
        <f t="shared" ref="U4:U67" si="10">IF($AC4&lt;1,IF(AD4&gt;=1,$AM$25,$AM$24),IF(AD4&lt;$AC4*$AO$26,$AM$26,IF(AD4&lt;$AC4*$AO$27,$AM$27,$AM$28)))</f>
        <v>1</v>
      </c>
      <c r="V4" s="10">
        <f t="shared" ref="V4:V67" si="11">IF($AC4&lt;1,IF(AE4&gt;=1,$AM$25,$AM$24),IF(AE4&lt;$AC4*$AO$26,$AM$26,IF(AE4&lt;$AC4*$AO$27,$AM$27,$AM$28)))</f>
        <v>1</v>
      </c>
      <c r="W4" s="10">
        <f t="shared" ref="W4:W67" si="12">IF($AC4&lt;1,IF(AF4&gt;=1,$AM$25,$AM$24),IF(AF4&lt;$AC4*$AO$26,$AM$26,IF(AF4&lt;$AC4*$AO$27,$AM$27,$AM$28)))</f>
        <v>1</v>
      </c>
      <c r="X4" s="10">
        <f t="shared" ref="X4:X67" si="13">R4/P4</f>
        <v>0.1586092715231788</v>
      </c>
      <c r="Y4" s="10">
        <f t="shared" ref="Y4:Y67" si="14">IF($AG4&lt;1,IF(AH4&gt;=1,$AM$25,$AM$24),IF(AH4&lt;$AG4*$AO$26,$AM$26,IF(AH4&lt;$AG4*$AO$27,$AM$27,$AM$28)))</f>
        <v>1</v>
      </c>
      <c r="Z4" s="10">
        <f t="shared" ref="Z4:Z67" si="15">IF($AG4&lt;1,IF(AI4&gt;=1,$AM$25,$AM$24),IF(AI4&lt;$AG4*$AO$26,$AM$26,IF(AI4&lt;$AG4*$AO$27,$AM$27,$AM$28)))</f>
        <v>1</v>
      </c>
      <c r="AA4" s="10">
        <f t="shared" ref="AA4:AA67" si="16">IF($AG4&lt;1,IF(AJ4&gt;=1,$AM$25,$AM$24),IF(AJ4&lt;$AG4*$AO$26,$AM$26,IF(AJ4&lt;$AG4*$AO$27,$AM$27,$AM$28)))</f>
        <v>1</v>
      </c>
      <c r="AB4" s="12"/>
      <c r="AC4" s="10">
        <f t="shared" ref="AC4:AC67" si="17">Q4/O4</f>
        <v>0.86808746750876997</v>
      </c>
      <c r="AD4" s="10">
        <f t="shared" ref="AD4:AD67" si="18">IF($O4&gt;0.001,($Q4+E4)/$O4,IF(E4&lt;0.001,0,10))</f>
        <v>0.86808746750876997</v>
      </c>
      <c r="AE4" s="10">
        <f t="shared" ref="AE4:AE67" si="19">IF($O4&gt;0.001,($Q4+F4)/$O4,IF(F4&lt;0.001,0,10))</f>
        <v>0.86808746750876997</v>
      </c>
      <c r="AF4" s="10">
        <f t="shared" ref="AF4:AF67" si="20">IF($O4&gt;0.001,($Q4+G4)/$O4,IF(G4&lt;0.001,0,10))</f>
        <v>0.86808746750876997</v>
      </c>
      <c r="AG4" s="10">
        <f t="shared" ref="AG4:AG67" si="21">R4/P4</f>
        <v>0.1586092715231788</v>
      </c>
      <c r="AH4" s="10">
        <f t="shared" ref="AH4:AJ67" si="22">IF($P4&gt;0.001,($R4+H4)/$P4,IF(H4&lt;0.001,0,10))</f>
        <v>0.1586092715231788</v>
      </c>
      <c r="AI4" s="10">
        <f t="shared" si="1"/>
        <v>0.1586092715231788</v>
      </c>
      <c r="AJ4" s="10">
        <f t="shared" si="1"/>
        <v>0.1586092715231788</v>
      </c>
      <c r="AM4" s="34"/>
      <c r="AN4" s="4" t="s">
        <v>173</v>
      </c>
      <c r="AO4" s="12">
        <v>45.709409999999998</v>
      </c>
      <c r="AP4" s="11">
        <v>824.63017500000001</v>
      </c>
      <c r="AQ4" s="11">
        <v>3179.9459999999999</v>
      </c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</row>
    <row r="5" spans="1:61" s="7" customFormat="1" x14ac:dyDescent="0.3">
      <c r="A5" s="7" t="s">
        <v>3</v>
      </c>
      <c r="B5" s="11">
        <v>3304.2362245002878</v>
      </c>
      <c r="C5" s="11">
        <v>0</v>
      </c>
      <c r="D5" s="11">
        <v>601.32784972185402</v>
      </c>
      <c r="E5" s="10">
        <f t="shared" ref="E5:E74" si="23">$B5/1000*AO$2+$C5/1000*AO$3+$D5/1000*AO$4</f>
        <v>56.533945208130945</v>
      </c>
      <c r="F5" s="10">
        <f t="shared" ref="F5:F74" si="24">$B5/1000*AP$2+$C5/1000*AP$3+$D5/1000*AP$4</f>
        <v>1090.0797717408727</v>
      </c>
      <c r="G5" s="10">
        <f t="shared" ref="G5:G74" si="25">$B5/1000*AQ$2+$C5/1000*AQ$3+$D5/1000*AQ$4</f>
        <v>7225.5032693189587</v>
      </c>
      <c r="H5" s="10">
        <f t="shared" si="2"/>
        <v>1.8740531975314841E-2</v>
      </c>
      <c r="I5" s="10">
        <f t="shared" si="3"/>
        <v>9.5855514792642399E-2</v>
      </c>
      <c r="J5" s="10">
        <f t="shared" si="4"/>
        <v>8.569420952808553</v>
      </c>
      <c r="K5" s="10">
        <f t="shared" si="5"/>
        <v>8.0282195641381335</v>
      </c>
      <c r="L5" s="10">
        <f t="shared" si="6"/>
        <v>0</v>
      </c>
      <c r="M5" s="10">
        <f t="shared" si="7"/>
        <v>0</v>
      </c>
      <c r="N5" s="5">
        <v>1566172.4130000002</v>
      </c>
      <c r="O5" s="11">
        <f t="shared" si="8"/>
        <v>1653575.7</v>
      </c>
      <c r="P5" s="12">
        <v>2.3334000000000001</v>
      </c>
      <c r="Q5" s="11">
        <v>413588.47000000003</v>
      </c>
      <c r="R5" s="7">
        <v>9.8019999999999996</v>
      </c>
      <c r="S5" s="12"/>
      <c r="T5" s="10">
        <f t="shared" si="9"/>
        <v>0.25011765109997686</v>
      </c>
      <c r="U5" s="10">
        <f t="shared" si="10"/>
        <v>1</v>
      </c>
      <c r="V5" s="10">
        <f t="shared" si="11"/>
        <v>1</v>
      </c>
      <c r="W5" s="10">
        <f t="shared" si="12"/>
        <v>1</v>
      </c>
      <c r="X5" s="10">
        <f t="shared" si="13"/>
        <v>4.2007371217965197</v>
      </c>
      <c r="Y5" s="10">
        <f t="shared" si="14"/>
        <v>3</v>
      </c>
      <c r="Z5" s="10">
        <f t="shared" si="15"/>
        <v>3</v>
      </c>
      <c r="AA5" s="10">
        <f t="shared" si="16"/>
        <v>4</v>
      </c>
      <c r="AB5" s="12"/>
      <c r="AC5" s="10">
        <f t="shared" si="17"/>
        <v>0.25011765109997686</v>
      </c>
      <c r="AD5" s="10">
        <f t="shared" si="18"/>
        <v>0.25015184000660395</v>
      </c>
      <c r="AE5" s="10">
        <f t="shared" si="19"/>
        <v>0.25077687690484379</v>
      </c>
      <c r="AF5" s="10">
        <f t="shared" si="20"/>
        <v>0.25448727461906884</v>
      </c>
      <c r="AG5" s="10">
        <f t="shared" si="21"/>
        <v>4.2007371217965197</v>
      </c>
      <c r="AH5" s="10">
        <f t="shared" si="22"/>
        <v>4.2087685488880231</v>
      </c>
      <c r="AI5" s="10">
        <f t="shared" si="1"/>
        <v>4.2418168830001894</v>
      </c>
      <c r="AJ5" s="10">
        <f t="shared" si="1"/>
        <v>7.8732411728844394</v>
      </c>
      <c r="AM5" s="34" t="s">
        <v>175</v>
      </c>
      <c r="AN5" s="4" t="s">
        <v>171</v>
      </c>
      <c r="AO5" s="10">
        <v>3.912034583333333</v>
      </c>
      <c r="AP5" s="12">
        <v>15.404224599999999</v>
      </c>
      <c r="AQ5" s="11">
        <v>1946.5621466666666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</row>
    <row r="6" spans="1:61" s="7" customFormat="1" x14ac:dyDescent="0.3">
      <c r="A6" s="7" t="s">
        <v>4</v>
      </c>
      <c r="B6" s="11">
        <v>0</v>
      </c>
      <c r="C6" s="11">
        <v>0</v>
      </c>
      <c r="D6" s="11">
        <v>0</v>
      </c>
      <c r="E6" s="10">
        <f t="shared" si="23"/>
        <v>0</v>
      </c>
      <c r="F6" s="10">
        <f t="shared" si="24"/>
        <v>0</v>
      </c>
      <c r="G6" s="10">
        <f t="shared" si="25"/>
        <v>0</v>
      </c>
      <c r="H6" s="10">
        <f t="shared" si="2"/>
        <v>0</v>
      </c>
      <c r="I6" s="10">
        <f t="shared" si="3"/>
        <v>0</v>
      </c>
      <c r="J6" s="10">
        <f t="shared" si="4"/>
        <v>0</v>
      </c>
      <c r="K6" s="10">
        <f t="shared" si="5"/>
        <v>0</v>
      </c>
      <c r="L6" s="10">
        <f t="shared" si="6"/>
        <v>0</v>
      </c>
      <c r="M6" s="10">
        <f t="shared" si="7"/>
        <v>0</v>
      </c>
      <c r="N6" s="5">
        <v>384955.17060000001</v>
      </c>
      <c r="O6" s="11">
        <f t="shared" si="8"/>
        <v>406438.33999999997</v>
      </c>
      <c r="P6" s="12">
        <v>29.680000000000003</v>
      </c>
      <c r="Q6" s="11">
        <v>569524.9</v>
      </c>
      <c r="R6" s="7">
        <v>0.70569999999999999</v>
      </c>
      <c r="S6" s="12"/>
      <c r="T6" s="10">
        <f t="shared" si="9"/>
        <v>1.4012578144079617</v>
      </c>
      <c r="U6" s="10">
        <f t="shared" si="10"/>
        <v>3</v>
      </c>
      <c r="V6" s="10">
        <f t="shared" si="11"/>
        <v>3</v>
      </c>
      <c r="W6" s="10">
        <f t="shared" si="12"/>
        <v>3</v>
      </c>
      <c r="X6" s="10">
        <f t="shared" si="13"/>
        <v>2.3776954177897571E-2</v>
      </c>
      <c r="Y6" s="10">
        <f t="shared" si="14"/>
        <v>1</v>
      </c>
      <c r="Z6" s="10">
        <f t="shared" si="15"/>
        <v>1</v>
      </c>
      <c r="AA6" s="10">
        <f t="shared" si="16"/>
        <v>1</v>
      </c>
      <c r="AB6" s="12"/>
      <c r="AC6" s="10">
        <f t="shared" si="17"/>
        <v>1.4012578144079617</v>
      </c>
      <c r="AD6" s="10">
        <f t="shared" si="18"/>
        <v>1.4012578144079617</v>
      </c>
      <c r="AE6" s="10">
        <f t="shared" si="19"/>
        <v>1.4012578144079617</v>
      </c>
      <c r="AF6" s="10">
        <f t="shared" si="20"/>
        <v>1.4012578144079617</v>
      </c>
      <c r="AG6" s="10">
        <f t="shared" si="21"/>
        <v>2.3776954177897571E-2</v>
      </c>
      <c r="AH6" s="10">
        <f t="shared" si="22"/>
        <v>2.3776954177897571E-2</v>
      </c>
      <c r="AI6" s="10">
        <f t="shared" si="1"/>
        <v>2.3776954177897571E-2</v>
      </c>
      <c r="AJ6" s="10">
        <f t="shared" si="1"/>
        <v>2.3776954177897571E-2</v>
      </c>
      <c r="AM6" s="34"/>
      <c r="AN6" s="4" t="s">
        <v>172</v>
      </c>
      <c r="AO6" s="10">
        <v>5.2408245000000004</v>
      </c>
      <c r="AP6" s="12">
        <v>20.888311000000002</v>
      </c>
      <c r="AQ6" s="11">
        <v>2434.0241799999999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</row>
    <row r="7" spans="1:61" s="7" customFormat="1" x14ac:dyDescent="0.3">
      <c r="A7" s="7" t="s">
        <v>5</v>
      </c>
      <c r="B7" s="11">
        <v>0</v>
      </c>
      <c r="C7" s="11">
        <v>0</v>
      </c>
      <c r="D7" s="11">
        <v>0</v>
      </c>
      <c r="E7" s="10">
        <f t="shared" si="23"/>
        <v>0</v>
      </c>
      <c r="F7" s="10">
        <f t="shared" si="24"/>
        <v>0</v>
      </c>
      <c r="G7" s="10">
        <f t="shared" si="25"/>
        <v>0</v>
      </c>
      <c r="H7" s="10">
        <f t="shared" si="2"/>
        <v>0</v>
      </c>
      <c r="I7" s="10">
        <f t="shared" si="3"/>
        <v>0</v>
      </c>
      <c r="J7" s="10">
        <f t="shared" si="4"/>
        <v>0</v>
      </c>
      <c r="K7" s="10">
        <f t="shared" si="5"/>
        <v>0</v>
      </c>
      <c r="L7" s="10">
        <f t="shared" si="6"/>
        <v>0</v>
      </c>
      <c r="M7" s="10">
        <f t="shared" si="7"/>
        <v>0</v>
      </c>
      <c r="N7" s="5">
        <v>237.88440000000003</v>
      </c>
      <c r="O7" s="11">
        <f t="shared" si="8"/>
        <v>251.16</v>
      </c>
      <c r="P7" s="12">
        <v>1.04E-2</v>
      </c>
      <c r="Q7" s="11">
        <v>90</v>
      </c>
      <c r="R7" s="7">
        <v>4.4000000000000003E-3</v>
      </c>
      <c r="S7" s="12"/>
      <c r="T7" s="10">
        <f t="shared" si="9"/>
        <v>0.35833731485905401</v>
      </c>
      <c r="U7" s="10">
        <f t="shared" si="10"/>
        <v>1</v>
      </c>
      <c r="V7" s="10">
        <f t="shared" si="11"/>
        <v>1</v>
      </c>
      <c r="W7" s="10">
        <f t="shared" si="12"/>
        <v>1</v>
      </c>
      <c r="X7" s="10">
        <f t="shared" si="13"/>
        <v>0.42307692307692313</v>
      </c>
      <c r="Y7" s="10">
        <f t="shared" si="14"/>
        <v>1</v>
      </c>
      <c r="Z7" s="10">
        <f t="shared" si="15"/>
        <v>1</v>
      </c>
      <c r="AA7" s="10">
        <f t="shared" si="16"/>
        <v>1</v>
      </c>
      <c r="AB7" s="12"/>
      <c r="AC7" s="10">
        <f t="shared" si="17"/>
        <v>0.35833731485905401</v>
      </c>
      <c r="AD7" s="10">
        <f t="shared" si="18"/>
        <v>0.35833731485905401</v>
      </c>
      <c r="AE7" s="10">
        <f t="shared" si="19"/>
        <v>0.35833731485905401</v>
      </c>
      <c r="AF7" s="10">
        <f t="shared" si="20"/>
        <v>0.35833731485905401</v>
      </c>
      <c r="AG7" s="10">
        <f t="shared" si="21"/>
        <v>0.42307692307692313</v>
      </c>
      <c r="AH7" s="10">
        <f t="shared" si="22"/>
        <v>0.42307692307692313</v>
      </c>
      <c r="AI7" s="10">
        <f t="shared" si="1"/>
        <v>0.42307692307692313</v>
      </c>
      <c r="AJ7" s="10">
        <f t="shared" si="1"/>
        <v>0.42307692307692313</v>
      </c>
      <c r="AM7" s="34"/>
      <c r="AN7" s="4" t="s">
        <v>173</v>
      </c>
      <c r="AO7" s="12">
        <v>9.6690109999999994</v>
      </c>
      <c r="AP7" s="12">
        <v>74.761742499999997</v>
      </c>
      <c r="AQ7" s="11">
        <v>3554.6662199999996</v>
      </c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</row>
    <row r="8" spans="1:61" s="7" customFormat="1" x14ac:dyDescent="0.3">
      <c r="A8" s="7" t="s">
        <v>6</v>
      </c>
      <c r="B8" s="11">
        <v>934.56068596402372</v>
      </c>
      <c r="C8" s="11">
        <v>0</v>
      </c>
      <c r="D8" s="11">
        <v>0</v>
      </c>
      <c r="E8" s="10">
        <f t="shared" si="23"/>
        <v>8.2157409027228816</v>
      </c>
      <c r="F8" s="10">
        <f t="shared" si="24"/>
        <v>168.06371167493145</v>
      </c>
      <c r="G8" s="10">
        <f t="shared" si="25"/>
        <v>1502.8022428911866</v>
      </c>
      <c r="H8" s="10">
        <f t="shared" si="2"/>
        <v>3.6560337237149833E-3</v>
      </c>
      <c r="I8" s="10">
        <f t="shared" si="3"/>
        <v>1.4396182708919888E-2</v>
      </c>
      <c r="J8" s="10">
        <f t="shared" si="4"/>
        <v>1.8191804550604027</v>
      </c>
      <c r="K8" s="10">
        <f t="shared" si="5"/>
        <v>1.6822092347352429</v>
      </c>
      <c r="L8" s="10">
        <f t="shared" si="6"/>
        <v>0</v>
      </c>
      <c r="M8" s="10">
        <f t="shared" si="7"/>
        <v>0</v>
      </c>
      <c r="N8" s="5">
        <v>1596006.75</v>
      </c>
      <c r="O8" s="11">
        <f t="shared" si="8"/>
        <v>1685075</v>
      </c>
      <c r="P8" s="12">
        <v>175.24800000000002</v>
      </c>
      <c r="Q8" s="11">
        <v>1083817.5970000001</v>
      </c>
      <c r="R8" s="7">
        <v>37.69</v>
      </c>
      <c r="S8" s="12"/>
      <c r="T8" s="10">
        <f t="shared" si="9"/>
        <v>0.64318656261590734</v>
      </c>
      <c r="U8" s="10">
        <f t="shared" si="10"/>
        <v>1</v>
      </c>
      <c r="V8" s="10">
        <f t="shared" si="11"/>
        <v>1</v>
      </c>
      <c r="W8" s="10">
        <f t="shared" si="12"/>
        <v>1</v>
      </c>
      <c r="X8" s="10">
        <f t="shared" si="13"/>
        <v>0.21506664840682915</v>
      </c>
      <c r="Y8" s="10">
        <f t="shared" si="14"/>
        <v>1</v>
      </c>
      <c r="Z8" s="10">
        <f t="shared" si="15"/>
        <v>1</v>
      </c>
      <c r="AA8" s="10">
        <f t="shared" si="16"/>
        <v>1</v>
      </c>
      <c r="AB8" s="12"/>
      <c r="AC8" s="10">
        <f t="shared" si="17"/>
        <v>0.64318656261590734</v>
      </c>
      <c r="AD8" s="10">
        <f t="shared" si="18"/>
        <v>0.64319143820951763</v>
      </c>
      <c r="AE8" s="10">
        <f t="shared" si="19"/>
        <v>0.64328629925176917</v>
      </c>
      <c r="AF8" s="10">
        <f t="shared" si="20"/>
        <v>0.64407839368745678</v>
      </c>
      <c r="AG8" s="10">
        <f t="shared" si="21"/>
        <v>0.21506664840682915</v>
      </c>
      <c r="AH8" s="10">
        <f t="shared" si="22"/>
        <v>0.21508751046359278</v>
      </c>
      <c r="AI8" s="10">
        <f t="shared" si="1"/>
        <v>0.2151487958932993</v>
      </c>
      <c r="AJ8" s="10">
        <f t="shared" si="1"/>
        <v>0.22544725449112343</v>
      </c>
      <c r="AM8" s="34" t="s">
        <v>176</v>
      </c>
      <c r="AN8" s="4" t="s">
        <v>171</v>
      </c>
      <c r="AO8" s="7">
        <v>1.8</v>
      </c>
      <c r="AP8" s="7">
        <v>0</v>
      </c>
      <c r="AQ8" s="7">
        <v>0</v>
      </c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 spans="1:61" s="7" customFormat="1" x14ac:dyDescent="0.3">
      <c r="A9" s="7" t="s">
        <v>7</v>
      </c>
      <c r="B9" s="11">
        <v>0</v>
      </c>
      <c r="C9" s="11">
        <v>0</v>
      </c>
      <c r="D9" s="11">
        <v>0</v>
      </c>
      <c r="E9" s="10">
        <f t="shared" si="23"/>
        <v>0</v>
      </c>
      <c r="F9" s="10">
        <f t="shared" si="24"/>
        <v>0</v>
      </c>
      <c r="G9" s="10">
        <f t="shared" si="25"/>
        <v>0</v>
      </c>
      <c r="H9" s="10">
        <f t="shared" si="2"/>
        <v>0</v>
      </c>
      <c r="I9" s="10">
        <f t="shared" si="3"/>
        <v>0</v>
      </c>
      <c r="J9" s="10">
        <f t="shared" si="4"/>
        <v>0</v>
      </c>
      <c r="K9" s="10">
        <f t="shared" si="5"/>
        <v>0</v>
      </c>
      <c r="L9" s="10">
        <f t="shared" si="6"/>
        <v>0</v>
      </c>
      <c r="M9" s="10">
        <f t="shared" si="7"/>
        <v>0</v>
      </c>
      <c r="N9" s="5">
        <v>15855.843899999998</v>
      </c>
      <c r="O9" s="11">
        <f t="shared" si="8"/>
        <v>16740.709999999995</v>
      </c>
      <c r="P9" s="12">
        <v>1.5538000000000001</v>
      </c>
      <c r="Q9" s="11">
        <v>16760</v>
      </c>
      <c r="R9" s="7">
        <v>2.714</v>
      </c>
      <c r="S9" s="12"/>
      <c r="T9" s="10">
        <f t="shared" si="9"/>
        <v>1.0011522808769762</v>
      </c>
      <c r="U9" s="10">
        <f t="shared" si="10"/>
        <v>3</v>
      </c>
      <c r="V9" s="10">
        <f t="shared" si="11"/>
        <v>3</v>
      </c>
      <c r="W9" s="10">
        <f t="shared" si="12"/>
        <v>3</v>
      </c>
      <c r="X9" s="10">
        <f t="shared" si="13"/>
        <v>1.7466855451152012</v>
      </c>
      <c r="Y9" s="10">
        <f t="shared" si="14"/>
        <v>3</v>
      </c>
      <c r="Z9" s="10">
        <f t="shared" si="15"/>
        <v>3</v>
      </c>
      <c r="AA9" s="10">
        <f t="shared" si="16"/>
        <v>3</v>
      </c>
      <c r="AB9" s="12"/>
      <c r="AC9" s="10">
        <f t="shared" si="17"/>
        <v>1.0011522808769762</v>
      </c>
      <c r="AD9" s="10">
        <f t="shared" si="18"/>
        <v>1.0011522808769762</v>
      </c>
      <c r="AE9" s="10">
        <f t="shared" si="19"/>
        <v>1.0011522808769762</v>
      </c>
      <c r="AF9" s="10">
        <f t="shared" si="20"/>
        <v>1.0011522808769762</v>
      </c>
      <c r="AG9" s="10">
        <f t="shared" si="21"/>
        <v>1.7466855451152012</v>
      </c>
      <c r="AH9" s="10">
        <f t="shared" si="22"/>
        <v>1.7466855451152012</v>
      </c>
      <c r="AI9" s="10">
        <f t="shared" si="1"/>
        <v>1.7466855451152012</v>
      </c>
      <c r="AJ9" s="10">
        <f t="shared" si="1"/>
        <v>1.7466855451152012</v>
      </c>
      <c r="AM9" s="34"/>
      <c r="AN9" s="4" t="s">
        <v>172</v>
      </c>
      <c r="AO9" s="7">
        <v>2.0699999999999998</v>
      </c>
      <c r="AP9" s="7">
        <v>0</v>
      </c>
      <c r="AQ9" s="7">
        <v>0</v>
      </c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</row>
    <row r="10" spans="1:61" s="7" customFormat="1" x14ac:dyDescent="0.3">
      <c r="A10" s="7" t="s">
        <v>8</v>
      </c>
      <c r="B10" s="11">
        <v>2403.0808905456643</v>
      </c>
      <c r="C10" s="11">
        <v>0</v>
      </c>
      <c r="D10" s="11">
        <v>24925.50672422193</v>
      </c>
      <c r="E10" s="10">
        <f t="shared" si="23"/>
        <v>1160.4557364830544</v>
      </c>
      <c r="F10" s="10">
        <f t="shared" si="24"/>
        <v>20986.475285989618</v>
      </c>
      <c r="G10" s="10">
        <f t="shared" si="25"/>
        <v>83125.99317214069</v>
      </c>
      <c r="H10" s="10">
        <f t="shared" si="2"/>
        <v>0.2504059342474379</v>
      </c>
      <c r="I10" s="10">
        <f t="shared" si="3"/>
        <v>1.9004919131682319</v>
      </c>
      <c r="J10" s="10">
        <f t="shared" si="4"/>
        <v>93.27960306588875</v>
      </c>
      <c r="K10" s="10">
        <f t="shared" si="5"/>
        <v>90.567798868790078</v>
      </c>
      <c r="L10" s="10">
        <f t="shared" si="6"/>
        <v>0</v>
      </c>
      <c r="M10" s="10">
        <f t="shared" si="7"/>
        <v>0</v>
      </c>
      <c r="N10" s="5">
        <v>4178735.8470000001</v>
      </c>
      <c r="O10" s="11">
        <f t="shared" si="8"/>
        <v>4411938.3</v>
      </c>
      <c r="P10" s="12">
        <v>98.4</v>
      </c>
      <c r="Q10" s="11">
        <v>3557750</v>
      </c>
      <c r="R10" s="7">
        <v>11.584110000000001</v>
      </c>
      <c r="S10" s="12"/>
      <c r="T10" s="10">
        <f t="shared" si="9"/>
        <v>0.80639160343652139</v>
      </c>
      <c r="U10" s="10">
        <f t="shared" si="10"/>
        <v>1</v>
      </c>
      <c r="V10" s="10">
        <f t="shared" si="11"/>
        <v>1</v>
      </c>
      <c r="W10" s="10">
        <f t="shared" si="12"/>
        <v>1</v>
      </c>
      <c r="X10" s="10">
        <f t="shared" si="13"/>
        <v>0.11772469512195122</v>
      </c>
      <c r="Y10" s="10">
        <f t="shared" si="14"/>
        <v>1</v>
      </c>
      <c r="Z10" s="10">
        <f t="shared" si="15"/>
        <v>1</v>
      </c>
      <c r="AA10" s="10">
        <f t="shared" si="16"/>
        <v>2</v>
      </c>
      <c r="AB10" s="12"/>
      <c r="AC10" s="10">
        <f t="shared" si="17"/>
        <v>0.80639160343652139</v>
      </c>
      <c r="AD10" s="10">
        <f t="shared" si="18"/>
        <v>0.8066546297205659</v>
      </c>
      <c r="AE10" s="10">
        <f t="shared" si="19"/>
        <v>0.81114835066618907</v>
      </c>
      <c r="AF10" s="10">
        <f t="shared" si="20"/>
        <v>0.82523275386061967</v>
      </c>
      <c r="AG10" s="10">
        <f t="shared" si="21"/>
        <v>0.11772469512195122</v>
      </c>
      <c r="AH10" s="10">
        <f t="shared" si="22"/>
        <v>0.12026947087649835</v>
      </c>
      <c r="AI10" s="10">
        <f t="shared" si="1"/>
        <v>0.13703863732894545</v>
      </c>
      <c r="AJ10" s="10">
        <f t="shared" si="1"/>
        <v>1.0656881409135035</v>
      </c>
      <c r="AM10" s="34"/>
      <c r="AN10" s="4" t="s">
        <v>173</v>
      </c>
      <c r="AO10" s="7">
        <v>3.46</v>
      </c>
      <c r="AP10" s="7">
        <v>0</v>
      </c>
      <c r="AQ10" s="7">
        <v>0</v>
      </c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</row>
    <row r="11" spans="1:61" s="7" customFormat="1" x14ac:dyDescent="0.3">
      <c r="A11" s="7" t="s">
        <v>163</v>
      </c>
      <c r="B11" s="11">
        <v>500.14121034481633</v>
      </c>
      <c r="C11" s="11">
        <v>0</v>
      </c>
      <c r="D11" s="11">
        <v>0</v>
      </c>
      <c r="E11" s="10">
        <f t="shared" si="23"/>
        <v>4.3967509661811457</v>
      </c>
      <c r="F11" s="10">
        <f t="shared" si="24"/>
        <v>89.941284107662739</v>
      </c>
      <c r="G11" s="10">
        <f t="shared" si="25"/>
        <v>804.24240389824854</v>
      </c>
      <c r="H11" s="10">
        <f t="shared" si="2"/>
        <v>1.9565697114191124E-3</v>
      </c>
      <c r="I11" s="10">
        <f t="shared" si="3"/>
        <v>7.7042875358673928E-3</v>
      </c>
      <c r="J11" s="10">
        <f t="shared" si="4"/>
        <v>0.97355594804527046</v>
      </c>
      <c r="K11" s="10">
        <f t="shared" si="5"/>
        <v>0.90025417862066937</v>
      </c>
      <c r="L11" s="10">
        <f t="shared" si="6"/>
        <v>0</v>
      </c>
      <c r="M11" s="10">
        <f t="shared" si="7"/>
        <v>0</v>
      </c>
      <c r="N11" s="5">
        <v>27958.378500000006</v>
      </c>
      <c r="O11" s="11">
        <f t="shared" si="8"/>
        <v>29518.65</v>
      </c>
      <c r="P11" s="12">
        <v>15.540000000000001</v>
      </c>
      <c r="Q11" s="11">
        <v>26467.600000000002</v>
      </c>
      <c r="R11" s="7">
        <v>3.49</v>
      </c>
      <c r="S11" s="12"/>
      <c r="T11" s="10">
        <f t="shared" si="9"/>
        <v>0.89663992086358968</v>
      </c>
      <c r="U11" s="10">
        <f t="shared" si="10"/>
        <v>1</v>
      </c>
      <c r="V11" s="10">
        <f t="shared" si="11"/>
        <v>1</v>
      </c>
      <c r="W11" s="10">
        <f t="shared" si="12"/>
        <v>1</v>
      </c>
      <c r="X11" s="10">
        <f t="shared" si="13"/>
        <v>0.2245817245817246</v>
      </c>
      <c r="Y11" s="10">
        <f t="shared" si="14"/>
        <v>1</v>
      </c>
      <c r="Z11" s="10">
        <f t="shared" si="15"/>
        <v>1</v>
      </c>
      <c r="AA11" s="10">
        <f t="shared" si="16"/>
        <v>1</v>
      </c>
      <c r="AB11" s="12"/>
      <c r="AC11" s="10">
        <f t="shared" si="17"/>
        <v>0.89663992086358968</v>
      </c>
      <c r="AD11" s="10">
        <f t="shared" si="18"/>
        <v>0.89678886910364064</v>
      </c>
      <c r="AE11" s="10">
        <f t="shared" si="19"/>
        <v>0.89968685167199935</v>
      </c>
      <c r="AF11" s="10">
        <f t="shared" si="20"/>
        <v>0.92388515070635857</v>
      </c>
      <c r="AG11" s="10">
        <f t="shared" si="21"/>
        <v>0.2245817245817246</v>
      </c>
      <c r="AH11" s="10">
        <f t="shared" si="22"/>
        <v>0.22470762996855981</v>
      </c>
      <c r="AI11" s="10">
        <f t="shared" si="1"/>
        <v>0.22507749598042906</v>
      </c>
      <c r="AJ11" s="10">
        <f t="shared" si="1"/>
        <v>0.28723011248682562</v>
      </c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</row>
    <row r="12" spans="1:61" s="7" customFormat="1" x14ac:dyDescent="0.3">
      <c r="A12" s="7" t="s">
        <v>9</v>
      </c>
      <c r="B12" s="11">
        <v>0</v>
      </c>
      <c r="C12" s="11">
        <v>0</v>
      </c>
      <c r="D12" s="11">
        <v>0</v>
      </c>
      <c r="E12" s="10">
        <f t="shared" si="23"/>
        <v>0</v>
      </c>
      <c r="F12" s="10">
        <f t="shared" si="24"/>
        <v>0</v>
      </c>
      <c r="G12" s="10">
        <f t="shared" si="25"/>
        <v>0</v>
      </c>
      <c r="H12" s="10">
        <f t="shared" si="2"/>
        <v>0</v>
      </c>
      <c r="I12" s="10">
        <f t="shared" si="3"/>
        <v>0</v>
      </c>
      <c r="J12" s="10">
        <f t="shared" si="4"/>
        <v>0</v>
      </c>
      <c r="K12" s="10">
        <f t="shared" si="5"/>
        <v>0</v>
      </c>
      <c r="L12" s="10">
        <f t="shared" si="6"/>
        <v>0</v>
      </c>
      <c r="M12" s="10">
        <f t="shared" si="7"/>
        <v>0</v>
      </c>
      <c r="N12" s="5">
        <v>44669.160900000003</v>
      </c>
      <c r="O12" s="11">
        <f t="shared" si="8"/>
        <v>47162.01</v>
      </c>
      <c r="P12" s="12">
        <v>6.9349999999999996</v>
      </c>
      <c r="Q12" s="11">
        <v>47801</v>
      </c>
      <c r="R12" s="7">
        <v>12.167</v>
      </c>
      <c r="S12" s="12"/>
      <c r="T12" s="10">
        <f t="shared" si="9"/>
        <v>1.0135488288136998</v>
      </c>
      <c r="U12" s="10">
        <f t="shared" si="10"/>
        <v>3</v>
      </c>
      <c r="V12" s="10">
        <f t="shared" si="11"/>
        <v>3</v>
      </c>
      <c r="W12" s="10">
        <f t="shared" si="12"/>
        <v>3</v>
      </c>
      <c r="X12" s="10">
        <f t="shared" si="13"/>
        <v>1.7544340302811825</v>
      </c>
      <c r="Y12" s="10">
        <f t="shared" si="14"/>
        <v>3</v>
      </c>
      <c r="Z12" s="10">
        <f t="shared" si="15"/>
        <v>3</v>
      </c>
      <c r="AA12" s="10">
        <f t="shared" si="16"/>
        <v>3</v>
      </c>
      <c r="AB12" s="12"/>
      <c r="AC12" s="10">
        <f t="shared" si="17"/>
        <v>1.0135488288136998</v>
      </c>
      <c r="AD12" s="10">
        <f t="shared" si="18"/>
        <v>1.0135488288136998</v>
      </c>
      <c r="AE12" s="10">
        <f t="shared" si="19"/>
        <v>1.0135488288136998</v>
      </c>
      <c r="AF12" s="10">
        <f t="shared" si="20"/>
        <v>1.0135488288136998</v>
      </c>
      <c r="AG12" s="10">
        <f t="shared" si="21"/>
        <v>1.7544340302811825</v>
      </c>
      <c r="AH12" s="10">
        <f t="shared" si="22"/>
        <v>1.7544340302811825</v>
      </c>
      <c r="AI12" s="10">
        <f t="shared" si="1"/>
        <v>1.7544340302811825</v>
      </c>
      <c r="AJ12" s="10">
        <f t="shared" si="1"/>
        <v>1.7544340302811825</v>
      </c>
      <c r="AM12" s="4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 spans="1:61" s="7" customFormat="1" x14ac:dyDescent="0.3">
      <c r="A13" s="7" t="s">
        <v>10</v>
      </c>
      <c r="B13" s="11">
        <v>0</v>
      </c>
      <c r="C13" s="11">
        <v>0</v>
      </c>
      <c r="D13" s="11">
        <v>0</v>
      </c>
      <c r="E13" s="10">
        <f t="shared" si="23"/>
        <v>0</v>
      </c>
      <c r="F13" s="10">
        <f t="shared" si="24"/>
        <v>0</v>
      </c>
      <c r="G13" s="10">
        <f t="shared" si="25"/>
        <v>0</v>
      </c>
      <c r="H13" s="10">
        <f t="shared" si="2"/>
        <v>0</v>
      </c>
      <c r="I13" s="10">
        <f t="shared" si="3"/>
        <v>0</v>
      </c>
      <c r="J13" s="10">
        <f t="shared" si="4"/>
        <v>0</v>
      </c>
      <c r="K13" s="10">
        <f t="shared" si="5"/>
        <v>0</v>
      </c>
      <c r="L13" s="10">
        <f t="shared" si="6"/>
        <v>0</v>
      </c>
      <c r="M13" s="10">
        <f t="shared" si="7"/>
        <v>0</v>
      </c>
      <c r="N13" s="5">
        <v>690.44819999999993</v>
      </c>
      <c r="O13" s="11">
        <f t="shared" si="8"/>
        <v>728.9799999999999</v>
      </c>
      <c r="P13" s="12">
        <v>0.13999999999999999</v>
      </c>
      <c r="Q13" s="11">
        <v>140</v>
      </c>
      <c r="R13" s="7">
        <v>0</v>
      </c>
      <c r="S13" s="12"/>
      <c r="T13" s="10">
        <f t="shared" si="9"/>
        <v>0.19204916458613408</v>
      </c>
      <c r="U13" s="10">
        <f t="shared" si="10"/>
        <v>1</v>
      </c>
      <c r="V13" s="10">
        <f t="shared" si="11"/>
        <v>1</v>
      </c>
      <c r="W13" s="10">
        <f t="shared" si="12"/>
        <v>1</v>
      </c>
      <c r="X13" s="10">
        <f t="shared" si="13"/>
        <v>0</v>
      </c>
      <c r="Y13" s="10">
        <f t="shared" si="14"/>
        <v>1</v>
      </c>
      <c r="Z13" s="10">
        <f t="shared" si="15"/>
        <v>1</v>
      </c>
      <c r="AA13" s="10">
        <f t="shared" si="16"/>
        <v>1</v>
      </c>
      <c r="AB13" s="12"/>
      <c r="AC13" s="10">
        <f t="shared" si="17"/>
        <v>0.19204916458613408</v>
      </c>
      <c r="AD13" s="10">
        <f t="shared" si="18"/>
        <v>0.19204916458613408</v>
      </c>
      <c r="AE13" s="10">
        <f t="shared" si="19"/>
        <v>0.19204916458613408</v>
      </c>
      <c r="AF13" s="10">
        <f t="shared" si="20"/>
        <v>0.19204916458613408</v>
      </c>
      <c r="AG13" s="10">
        <f t="shared" si="21"/>
        <v>0</v>
      </c>
      <c r="AH13" s="10">
        <f t="shared" si="22"/>
        <v>0</v>
      </c>
      <c r="AI13" s="10">
        <f t="shared" si="1"/>
        <v>0</v>
      </c>
      <c r="AJ13" s="10">
        <f t="shared" si="1"/>
        <v>0</v>
      </c>
      <c r="AM13" s="4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 spans="1:61" s="7" customFormat="1" x14ac:dyDescent="0.3">
      <c r="A14" s="7" t="s">
        <v>11</v>
      </c>
      <c r="B14" s="11">
        <v>651.42716780911883</v>
      </c>
      <c r="C14" s="11">
        <v>0</v>
      </c>
      <c r="D14" s="11">
        <v>0</v>
      </c>
      <c r="E14" s="10">
        <f t="shared" si="23"/>
        <v>5.7267087178973473</v>
      </c>
      <c r="F14" s="10">
        <f t="shared" si="24"/>
        <v>117.14730712747256</v>
      </c>
      <c r="G14" s="10">
        <f t="shared" si="25"/>
        <v>1047.5148629368759</v>
      </c>
      <c r="H14" s="10">
        <f t="shared" si="2"/>
        <v>2.5484056089921593E-3</v>
      </c>
      <c r="I14" s="10">
        <f t="shared" si="3"/>
        <v>1.0034730403473555E-2</v>
      </c>
      <c r="J14" s="10">
        <f t="shared" si="4"/>
        <v>1.2680434661675051</v>
      </c>
      <c r="K14" s="10">
        <f t="shared" si="5"/>
        <v>1.1725689020564138</v>
      </c>
      <c r="L14" s="10">
        <f t="shared" si="6"/>
        <v>0</v>
      </c>
      <c r="M14" s="10">
        <f t="shared" si="7"/>
        <v>0</v>
      </c>
      <c r="N14" s="5">
        <v>515.81400000000008</v>
      </c>
      <c r="O14" s="11">
        <f t="shared" si="8"/>
        <v>544.6</v>
      </c>
      <c r="P14" s="12">
        <v>2.3200000000000002E-2</v>
      </c>
      <c r="Q14" s="11">
        <v>86</v>
      </c>
      <c r="R14" s="7">
        <v>0.15509999999999999</v>
      </c>
      <c r="S14" s="12"/>
      <c r="T14" s="10">
        <f t="shared" si="9"/>
        <v>0.1579140653690782</v>
      </c>
      <c r="U14" s="10">
        <f t="shared" si="10"/>
        <v>1</v>
      </c>
      <c r="V14" s="10">
        <f t="shared" si="11"/>
        <v>1</v>
      </c>
      <c r="W14" s="10">
        <f t="shared" si="12"/>
        <v>2</v>
      </c>
      <c r="X14" s="10">
        <f t="shared" si="13"/>
        <v>6.6853448275862055</v>
      </c>
      <c r="Y14" s="10">
        <f t="shared" si="14"/>
        <v>3</v>
      </c>
      <c r="Z14" s="10">
        <f t="shared" si="15"/>
        <v>3</v>
      </c>
      <c r="AA14" s="10">
        <f t="shared" si="16"/>
        <v>5</v>
      </c>
      <c r="AB14" s="12"/>
      <c r="AC14" s="10">
        <f t="shared" si="17"/>
        <v>0.1579140653690782</v>
      </c>
      <c r="AD14" s="10">
        <f t="shared" si="18"/>
        <v>0.16842950554149347</v>
      </c>
      <c r="AE14" s="10">
        <f t="shared" si="19"/>
        <v>0.37302112950325478</v>
      </c>
      <c r="AF14" s="10">
        <f t="shared" si="20"/>
        <v>2.0813713972399484</v>
      </c>
      <c r="AG14" s="10">
        <f>R14/P14</f>
        <v>6.6853448275862055</v>
      </c>
      <c r="AH14" s="10">
        <f t="shared" si="22"/>
        <v>6.7951898969393163</v>
      </c>
      <c r="AI14" s="10">
        <f t="shared" si="1"/>
        <v>7.1178763104945482</v>
      </c>
      <c r="AJ14" s="10">
        <f t="shared" si="1"/>
        <v>61.342390783082109</v>
      </c>
      <c r="AM14" s="4" t="s">
        <v>187</v>
      </c>
      <c r="AO14" s="7" t="s">
        <v>188</v>
      </c>
      <c r="AP14" s="7" t="s">
        <v>189</v>
      </c>
      <c r="AQ14" s="7" t="s">
        <v>190</v>
      </c>
      <c r="AR14" s="7" t="s">
        <v>191</v>
      </c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</row>
    <row r="15" spans="1:61" s="7" customFormat="1" x14ac:dyDescent="0.3">
      <c r="A15" s="7" t="s">
        <v>12</v>
      </c>
      <c r="B15" s="11">
        <v>695.72122367748864</v>
      </c>
      <c r="C15" s="11">
        <v>0</v>
      </c>
      <c r="D15" s="11">
        <v>0</v>
      </c>
      <c r="E15" s="10">
        <f t="shared" si="23"/>
        <v>6.1160986120055911</v>
      </c>
      <c r="F15" s="10">
        <f t="shared" si="24"/>
        <v>125.11278603770096</v>
      </c>
      <c r="G15" s="10">
        <f t="shared" si="25"/>
        <v>1118.7410631242612</v>
      </c>
      <c r="H15" s="10">
        <f t="shared" si="2"/>
        <v>2.7216854873853211E-3</v>
      </c>
      <c r="I15" s="10">
        <f t="shared" si="3"/>
        <v>1.0717045988514872E-2</v>
      </c>
      <c r="J15" s="10">
        <f t="shared" si="4"/>
        <v>1.3542645986432127</v>
      </c>
      <c r="K15" s="10">
        <f t="shared" si="5"/>
        <v>1.2522982026194796</v>
      </c>
      <c r="L15" s="10">
        <f t="shared" si="6"/>
        <v>0</v>
      </c>
      <c r="M15" s="10">
        <f t="shared" si="7"/>
        <v>0</v>
      </c>
      <c r="N15" s="5">
        <v>62279.568000000007</v>
      </c>
      <c r="O15" s="11">
        <f t="shared" si="8"/>
        <v>65755.199999999997</v>
      </c>
      <c r="P15" s="12">
        <v>245.40639999999999</v>
      </c>
      <c r="Q15" s="11">
        <v>99010</v>
      </c>
      <c r="R15" s="7">
        <v>35.869999999999997</v>
      </c>
      <c r="S15" s="12"/>
      <c r="T15" s="10">
        <f t="shared" si="9"/>
        <v>1.5057364284497652</v>
      </c>
      <c r="U15" s="10">
        <f t="shared" si="10"/>
        <v>3</v>
      </c>
      <c r="V15" s="10">
        <f t="shared" si="11"/>
        <v>3</v>
      </c>
      <c r="W15" s="10">
        <f t="shared" si="12"/>
        <v>3</v>
      </c>
      <c r="X15" s="10">
        <f t="shared" si="13"/>
        <v>0.14616570716982116</v>
      </c>
      <c r="Y15" s="10">
        <f t="shared" si="14"/>
        <v>1</v>
      </c>
      <c r="Z15" s="10">
        <f t="shared" si="15"/>
        <v>1</v>
      </c>
      <c r="AA15" s="10">
        <f t="shared" si="16"/>
        <v>1</v>
      </c>
      <c r="AB15" s="12"/>
      <c r="AC15" s="10">
        <f t="shared" si="17"/>
        <v>1.5057364284497652</v>
      </c>
      <c r="AD15" s="10">
        <f t="shared" si="18"/>
        <v>1.505829441604801</v>
      </c>
      <c r="AE15" s="10">
        <f t="shared" si="19"/>
        <v>1.507639134031038</v>
      </c>
      <c r="AF15" s="10">
        <f t="shared" si="20"/>
        <v>1.5227501560808008</v>
      </c>
      <c r="AG15" s="10">
        <f t="shared" si="21"/>
        <v>0.14616570716982116</v>
      </c>
      <c r="AH15" s="10">
        <f t="shared" si="22"/>
        <v>0.14617679769348879</v>
      </c>
      <c r="AI15" s="10">
        <f t="shared" si="1"/>
        <v>0.14620937777494195</v>
      </c>
      <c r="AJ15" s="10">
        <f t="shared" si="1"/>
        <v>0.1516841638956572</v>
      </c>
      <c r="AN15" s="7" t="s">
        <v>188</v>
      </c>
      <c r="AO15" s="13"/>
      <c r="AP15" s="15"/>
      <c r="AQ15" s="18"/>
      <c r="AR15" s="28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</row>
    <row r="16" spans="1:61" s="7" customFormat="1" x14ac:dyDescent="0.3">
      <c r="A16" s="7" t="s">
        <v>13</v>
      </c>
      <c r="B16" s="11">
        <v>0</v>
      </c>
      <c r="C16" s="11">
        <v>0</v>
      </c>
      <c r="D16" s="11">
        <v>0</v>
      </c>
      <c r="E16" s="10">
        <f t="shared" si="23"/>
        <v>0</v>
      </c>
      <c r="F16" s="10">
        <f t="shared" si="24"/>
        <v>0</v>
      </c>
      <c r="G16" s="10">
        <f t="shared" si="25"/>
        <v>0</v>
      </c>
      <c r="H16" s="10">
        <f t="shared" si="2"/>
        <v>0</v>
      </c>
      <c r="I16" s="10">
        <f t="shared" si="3"/>
        <v>0</v>
      </c>
      <c r="J16" s="10">
        <f t="shared" si="4"/>
        <v>0</v>
      </c>
      <c r="K16" s="10">
        <f t="shared" si="5"/>
        <v>0</v>
      </c>
      <c r="L16" s="10">
        <f t="shared" si="6"/>
        <v>0</v>
      </c>
      <c r="M16" s="10">
        <f t="shared" si="7"/>
        <v>0</v>
      </c>
      <c r="N16" s="5">
        <v>243.32100000000003</v>
      </c>
      <c r="O16" s="11">
        <f t="shared" si="8"/>
        <v>256.89999999999998</v>
      </c>
      <c r="P16" s="12">
        <v>1.6E-2</v>
      </c>
      <c r="Q16" s="11">
        <v>100</v>
      </c>
      <c r="R16" s="7">
        <v>7.0000000000000007E-2</v>
      </c>
      <c r="S16" s="12"/>
      <c r="T16" s="10">
        <f t="shared" si="9"/>
        <v>0.3892565200467108</v>
      </c>
      <c r="U16" s="10">
        <f t="shared" si="10"/>
        <v>1</v>
      </c>
      <c r="V16" s="10">
        <f t="shared" si="11"/>
        <v>1</v>
      </c>
      <c r="W16" s="10">
        <f t="shared" si="12"/>
        <v>1</v>
      </c>
      <c r="X16" s="10">
        <f t="shared" si="13"/>
        <v>4.375</v>
      </c>
      <c r="Y16" s="10">
        <f t="shared" si="14"/>
        <v>3</v>
      </c>
      <c r="Z16" s="10">
        <f t="shared" si="15"/>
        <v>3</v>
      </c>
      <c r="AA16" s="10">
        <f t="shared" si="16"/>
        <v>3</v>
      </c>
      <c r="AB16" s="12"/>
      <c r="AC16" s="10">
        <f t="shared" si="17"/>
        <v>0.3892565200467108</v>
      </c>
      <c r="AD16" s="10">
        <f t="shared" si="18"/>
        <v>0.3892565200467108</v>
      </c>
      <c r="AE16" s="10">
        <f t="shared" si="19"/>
        <v>0.3892565200467108</v>
      </c>
      <c r="AF16" s="10">
        <f t="shared" si="20"/>
        <v>0.3892565200467108</v>
      </c>
      <c r="AG16" s="10">
        <f t="shared" si="21"/>
        <v>4.375</v>
      </c>
      <c r="AH16" s="10">
        <f t="shared" si="22"/>
        <v>4.375</v>
      </c>
      <c r="AI16" s="10">
        <f t="shared" si="1"/>
        <v>4.375</v>
      </c>
      <c r="AJ16" s="10">
        <f t="shared" si="1"/>
        <v>4.375</v>
      </c>
      <c r="AN16" s="7" t="s">
        <v>189</v>
      </c>
      <c r="AO16" s="14"/>
      <c r="AP16" s="20"/>
      <c r="AQ16" s="22"/>
      <c r="AR16" s="19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 spans="1:61" s="7" customFormat="1" x14ac:dyDescent="0.3">
      <c r="A17" s="7" t="s">
        <v>14</v>
      </c>
      <c r="B17" s="11">
        <v>1809.9796463305252</v>
      </c>
      <c r="C17" s="11">
        <v>0</v>
      </c>
      <c r="D17" s="11">
        <v>0</v>
      </c>
      <c r="E17" s="10">
        <f t="shared" si="23"/>
        <v>15.911565762168204</v>
      </c>
      <c r="F17" s="10">
        <f t="shared" si="24"/>
        <v>325.49186156338885</v>
      </c>
      <c r="G17" s="10">
        <f t="shared" si="25"/>
        <v>2910.502777341972</v>
      </c>
      <c r="H17" s="10">
        <f t="shared" si="2"/>
        <v>7.0807029715744488E-3</v>
      </c>
      <c r="I17" s="10">
        <f t="shared" si="3"/>
        <v>2.7881332993503975E-2</v>
      </c>
      <c r="J17" s="10">
        <f t="shared" si="4"/>
        <v>3.5232378657841208</v>
      </c>
      <c r="K17" s="10">
        <f t="shared" si="5"/>
        <v>3.2579633633949454</v>
      </c>
      <c r="L17" s="10">
        <f t="shared" si="6"/>
        <v>0</v>
      </c>
      <c r="M17" s="10">
        <f t="shared" si="7"/>
        <v>0</v>
      </c>
      <c r="N17" s="5">
        <v>73376.862000000008</v>
      </c>
      <c r="O17" s="11">
        <f t="shared" si="8"/>
        <v>77471.799999999988</v>
      </c>
      <c r="P17" s="12">
        <v>11.58</v>
      </c>
      <c r="Q17" s="11">
        <v>82810</v>
      </c>
      <c r="R17" s="7">
        <v>1.39</v>
      </c>
      <c r="S17" s="12"/>
      <c r="T17" s="10">
        <f t="shared" si="9"/>
        <v>1.0689050725554332</v>
      </c>
      <c r="U17" s="10">
        <f t="shared" si="10"/>
        <v>3</v>
      </c>
      <c r="V17" s="10">
        <f t="shared" si="11"/>
        <v>3</v>
      </c>
      <c r="W17" s="10">
        <f t="shared" si="12"/>
        <v>3</v>
      </c>
      <c r="X17" s="10">
        <f t="shared" si="13"/>
        <v>0.12003454231433505</v>
      </c>
      <c r="Y17" s="10">
        <f t="shared" si="14"/>
        <v>1</v>
      </c>
      <c r="Z17" s="10">
        <f t="shared" si="15"/>
        <v>1</v>
      </c>
      <c r="AA17" s="10">
        <f t="shared" si="16"/>
        <v>1</v>
      </c>
      <c r="AB17" s="12"/>
      <c r="AC17" s="10">
        <f t="shared" si="17"/>
        <v>1.0689050725554332</v>
      </c>
      <c r="AD17" s="10">
        <f t="shared" si="18"/>
        <v>1.06911045781513</v>
      </c>
      <c r="AE17" s="10">
        <f t="shared" si="19"/>
        <v>1.073106496319479</v>
      </c>
      <c r="AF17" s="10">
        <f t="shared" si="20"/>
        <v>1.1064736172044793</v>
      </c>
      <c r="AG17" s="10">
        <f t="shared" si="21"/>
        <v>0.12003454231433505</v>
      </c>
      <c r="AH17" s="10">
        <f t="shared" si="22"/>
        <v>0.12064600198372835</v>
      </c>
      <c r="AI17" s="10">
        <f t="shared" si="1"/>
        <v>0.12244225673519031</v>
      </c>
      <c r="AJ17" s="10">
        <f t="shared" si="1"/>
        <v>0.42428651690709157</v>
      </c>
      <c r="AN17" s="7" t="s">
        <v>190</v>
      </c>
      <c r="AO17" s="24"/>
      <c r="AP17" s="23"/>
      <c r="AQ17" s="21"/>
      <c r="AR17" s="16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</row>
    <row r="18" spans="1:61" s="7" customFormat="1" x14ac:dyDescent="0.3">
      <c r="A18" s="7" t="s">
        <v>15</v>
      </c>
      <c r="B18" s="11">
        <v>1442.5811809403701</v>
      </c>
      <c r="C18" s="11">
        <v>0</v>
      </c>
      <c r="D18" s="11">
        <v>1246.2753362110964</v>
      </c>
      <c r="E18" s="10">
        <f t="shared" si="23"/>
        <v>69.64826912688028</v>
      </c>
      <c r="F18" s="10">
        <f t="shared" si="24"/>
        <v>1287.1381901609491</v>
      </c>
      <c r="G18" s="10">
        <f t="shared" si="25"/>
        <v>6282.8030483914617</v>
      </c>
      <c r="H18" s="10">
        <f t="shared" si="2"/>
        <v>1.7693677403958358E-2</v>
      </c>
      <c r="I18" s="10">
        <f t="shared" si="3"/>
        <v>0.11539556028485361</v>
      </c>
      <c r="J18" s="10">
        <f t="shared" si="4"/>
        <v>7.2381667587609479</v>
      </c>
      <c r="K18" s="10">
        <f t="shared" si="5"/>
        <v>6.9087587889830591</v>
      </c>
      <c r="L18" s="10">
        <f t="shared" si="6"/>
        <v>0</v>
      </c>
      <c r="M18" s="10">
        <f t="shared" si="7"/>
        <v>0</v>
      </c>
      <c r="N18" s="5">
        <v>15339.831</v>
      </c>
      <c r="O18" s="11">
        <f t="shared" si="8"/>
        <v>16195.9</v>
      </c>
      <c r="P18" s="12">
        <v>3.66</v>
      </c>
      <c r="Q18" s="11">
        <v>13646.093000000001</v>
      </c>
      <c r="R18" s="7">
        <v>3.9940000000000002</v>
      </c>
      <c r="S18" s="12"/>
      <c r="T18" s="10">
        <f t="shared" si="9"/>
        <v>0.84256466142665742</v>
      </c>
      <c r="U18" s="10">
        <f t="shared" si="10"/>
        <v>1</v>
      </c>
      <c r="V18" s="10">
        <f t="shared" si="11"/>
        <v>1</v>
      </c>
      <c r="W18" s="10">
        <f t="shared" si="12"/>
        <v>2</v>
      </c>
      <c r="X18" s="10">
        <f t="shared" si="13"/>
        <v>1.091256830601093</v>
      </c>
      <c r="Y18" s="10">
        <f t="shared" si="14"/>
        <v>3</v>
      </c>
      <c r="Z18" s="10">
        <f t="shared" si="15"/>
        <v>3</v>
      </c>
      <c r="AA18" s="10">
        <f t="shared" si="16"/>
        <v>5</v>
      </c>
      <c r="AB18" s="12"/>
      <c r="AC18" s="10">
        <f t="shared" si="17"/>
        <v>0.84256466142665742</v>
      </c>
      <c r="AD18" s="10">
        <f t="shared" si="18"/>
        <v>0.84686502566247523</v>
      </c>
      <c r="AE18" s="10">
        <f t="shared" si="19"/>
        <v>0.92203774968732521</v>
      </c>
      <c r="AF18" s="10">
        <f t="shared" si="20"/>
        <v>1.2304901887756448</v>
      </c>
      <c r="AG18" s="10">
        <f t="shared" si="21"/>
        <v>1.091256830601093</v>
      </c>
      <c r="AH18" s="10">
        <f t="shared" si="22"/>
        <v>1.0960911686896062</v>
      </c>
      <c r="AI18" s="10">
        <f t="shared" si="1"/>
        <v>1.1227856722089764</v>
      </c>
      <c r="AJ18" s="10">
        <f t="shared" si="1"/>
        <v>3.0688980215193848</v>
      </c>
      <c r="AN18" s="7" t="s">
        <v>191</v>
      </c>
      <c r="AO18" s="25"/>
      <c r="AP18" s="26"/>
      <c r="AQ18" s="27"/>
      <c r="AR18" s="17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</row>
    <row r="19" spans="1:61" s="7" customFormat="1" x14ac:dyDescent="0.3">
      <c r="A19" s="7" t="s">
        <v>16</v>
      </c>
      <c r="B19" s="11">
        <v>0</v>
      </c>
      <c r="C19" s="11">
        <v>0</v>
      </c>
      <c r="D19" s="11">
        <v>0</v>
      </c>
      <c r="E19" s="10">
        <f t="shared" si="23"/>
        <v>0</v>
      </c>
      <c r="F19" s="10">
        <f t="shared" si="24"/>
        <v>0</v>
      </c>
      <c r="G19" s="10">
        <f t="shared" si="25"/>
        <v>0</v>
      </c>
      <c r="H19" s="10">
        <f t="shared" si="2"/>
        <v>0</v>
      </c>
      <c r="I19" s="10">
        <f t="shared" si="3"/>
        <v>0</v>
      </c>
      <c r="J19" s="10">
        <f t="shared" si="4"/>
        <v>0</v>
      </c>
      <c r="K19" s="10">
        <f t="shared" si="5"/>
        <v>0</v>
      </c>
      <c r="L19" s="10">
        <f t="shared" si="6"/>
        <v>0</v>
      </c>
      <c r="M19" s="10">
        <f t="shared" si="7"/>
        <v>0</v>
      </c>
      <c r="N19" s="5">
        <v>6550.1085000000003</v>
      </c>
      <c r="O19" s="11">
        <f t="shared" si="8"/>
        <v>6915.65</v>
      </c>
      <c r="P19" s="12">
        <v>4.3468000000000009</v>
      </c>
      <c r="Q19" s="11">
        <v>1720</v>
      </c>
      <c r="R19" s="7">
        <v>0.10100000000000001</v>
      </c>
      <c r="S19" s="12"/>
      <c r="T19" s="10">
        <f t="shared" si="9"/>
        <v>0.24871125635334351</v>
      </c>
      <c r="U19" s="10">
        <f t="shared" si="10"/>
        <v>1</v>
      </c>
      <c r="V19" s="10">
        <f t="shared" si="11"/>
        <v>1</v>
      </c>
      <c r="W19" s="10">
        <f t="shared" si="12"/>
        <v>1</v>
      </c>
      <c r="X19" s="10">
        <f t="shared" si="13"/>
        <v>2.323548357412349E-2</v>
      </c>
      <c r="Y19" s="10">
        <f t="shared" si="14"/>
        <v>1</v>
      </c>
      <c r="Z19" s="10">
        <f t="shared" si="15"/>
        <v>1</v>
      </c>
      <c r="AA19" s="10">
        <f t="shared" si="16"/>
        <v>1</v>
      </c>
      <c r="AB19" s="12"/>
      <c r="AC19" s="10">
        <f t="shared" si="17"/>
        <v>0.24871125635334351</v>
      </c>
      <c r="AD19" s="10">
        <f t="shared" si="18"/>
        <v>0.24871125635334351</v>
      </c>
      <c r="AE19" s="10">
        <f t="shared" si="19"/>
        <v>0.24871125635334351</v>
      </c>
      <c r="AF19" s="10">
        <f t="shared" si="20"/>
        <v>0.24871125635334351</v>
      </c>
      <c r="AG19" s="10">
        <f t="shared" si="21"/>
        <v>2.323548357412349E-2</v>
      </c>
      <c r="AH19" s="10">
        <f t="shared" si="22"/>
        <v>2.323548357412349E-2</v>
      </c>
      <c r="AI19" s="10">
        <f t="shared" si="22"/>
        <v>2.323548357412349E-2</v>
      </c>
      <c r="AJ19" s="10">
        <f t="shared" si="22"/>
        <v>2.323548357412349E-2</v>
      </c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</row>
    <row r="20" spans="1:61" s="7" customFormat="1" x14ac:dyDescent="0.3">
      <c r="A20" s="7" t="s">
        <v>17</v>
      </c>
      <c r="B20" s="11">
        <v>0</v>
      </c>
      <c r="C20" s="11">
        <v>0</v>
      </c>
      <c r="D20" s="11">
        <v>0</v>
      </c>
      <c r="E20" s="10">
        <f t="shared" si="23"/>
        <v>0</v>
      </c>
      <c r="F20" s="10">
        <f t="shared" si="24"/>
        <v>0</v>
      </c>
      <c r="G20" s="10">
        <f t="shared" si="25"/>
        <v>0</v>
      </c>
      <c r="H20" s="10">
        <f t="shared" si="2"/>
        <v>0</v>
      </c>
      <c r="I20" s="10">
        <f t="shared" si="3"/>
        <v>0</v>
      </c>
      <c r="J20" s="10">
        <f t="shared" si="4"/>
        <v>0</v>
      </c>
      <c r="K20" s="10">
        <f t="shared" si="5"/>
        <v>0</v>
      </c>
      <c r="L20" s="10">
        <f t="shared" si="6"/>
        <v>0</v>
      </c>
      <c r="M20" s="10">
        <f t="shared" si="7"/>
        <v>0</v>
      </c>
      <c r="N20" s="5">
        <v>52647.835500000001</v>
      </c>
      <c r="O20" s="11">
        <f t="shared" si="8"/>
        <v>55585.95</v>
      </c>
      <c r="P20" s="12">
        <v>5.2780000000000005</v>
      </c>
      <c r="Q20" s="11">
        <v>39500</v>
      </c>
      <c r="R20" s="7">
        <v>0.13</v>
      </c>
      <c r="S20" s="12"/>
      <c r="T20" s="10">
        <f t="shared" si="9"/>
        <v>0.71061122459902193</v>
      </c>
      <c r="U20" s="10">
        <f t="shared" si="10"/>
        <v>1</v>
      </c>
      <c r="V20" s="10">
        <f t="shared" si="11"/>
        <v>1</v>
      </c>
      <c r="W20" s="10">
        <f t="shared" si="12"/>
        <v>1</v>
      </c>
      <c r="X20" s="10">
        <f t="shared" si="13"/>
        <v>2.463054187192118E-2</v>
      </c>
      <c r="Y20" s="10">
        <f t="shared" si="14"/>
        <v>1</v>
      </c>
      <c r="Z20" s="10">
        <f t="shared" si="15"/>
        <v>1</v>
      </c>
      <c r="AA20" s="10">
        <f t="shared" si="16"/>
        <v>1</v>
      </c>
      <c r="AB20" s="12"/>
      <c r="AC20" s="10">
        <f t="shared" si="17"/>
        <v>0.71061122459902193</v>
      </c>
      <c r="AD20" s="10">
        <f t="shared" si="18"/>
        <v>0.71061122459902193</v>
      </c>
      <c r="AE20" s="10">
        <f t="shared" si="19"/>
        <v>0.71061122459902193</v>
      </c>
      <c r="AF20" s="10">
        <f t="shared" si="20"/>
        <v>0.71061122459902193</v>
      </c>
      <c r="AG20" s="10">
        <f t="shared" si="21"/>
        <v>2.463054187192118E-2</v>
      </c>
      <c r="AH20" s="10">
        <f t="shared" si="22"/>
        <v>2.463054187192118E-2</v>
      </c>
      <c r="AI20" s="10">
        <f t="shared" si="22"/>
        <v>2.463054187192118E-2</v>
      </c>
      <c r="AJ20" s="10">
        <f t="shared" si="22"/>
        <v>2.463054187192118E-2</v>
      </c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</row>
    <row r="21" spans="1:61" s="7" customFormat="1" x14ac:dyDescent="0.3">
      <c r="A21" s="7" t="s">
        <v>18</v>
      </c>
      <c r="B21" s="11">
        <v>0</v>
      </c>
      <c r="C21" s="11">
        <v>0</v>
      </c>
      <c r="D21" s="11">
        <v>0</v>
      </c>
      <c r="E21" s="10">
        <f t="shared" si="23"/>
        <v>0</v>
      </c>
      <c r="F21" s="10">
        <f t="shared" si="24"/>
        <v>0</v>
      </c>
      <c r="G21" s="10">
        <f t="shared" si="25"/>
        <v>0</v>
      </c>
      <c r="H21" s="10">
        <f t="shared" si="2"/>
        <v>0</v>
      </c>
      <c r="I21" s="10">
        <f t="shared" si="3"/>
        <v>0</v>
      </c>
      <c r="J21" s="10">
        <f t="shared" si="4"/>
        <v>0</v>
      </c>
      <c r="K21" s="10">
        <f t="shared" si="5"/>
        <v>0</v>
      </c>
      <c r="L21" s="10">
        <f t="shared" si="6"/>
        <v>0</v>
      </c>
      <c r="M21" s="10">
        <f t="shared" si="7"/>
        <v>0</v>
      </c>
      <c r="N21" s="5">
        <v>29.172000000000001</v>
      </c>
      <c r="O21" s="11">
        <f t="shared" si="8"/>
        <v>30.799999999999997</v>
      </c>
      <c r="P21" s="12">
        <v>10</v>
      </c>
      <c r="Q21" s="11">
        <v>3</v>
      </c>
      <c r="R21" s="7">
        <v>0.1</v>
      </c>
      <c r="S21" s="12"/>
      <c r="T21" s="10">
        <f t="shared" si="9"/>
        <v>9.7402597402597407E-2</v>
      </c>
      <c r="U21" s="10">
        <f t="shared" si="10"/>
        <v>1</v>
      </c>
      <c r="V21" s="10">
        <f t="shared" si="11"/>
        <v>1</v>
      </c>
      <c r="W21" s="10">
        <f t="shared" si="12"/>
        <v>1</v>
      </c>
      <c r="X21" s="10">
        <f t="shared" si="13"/>
        <v>0.01</v>
      </c>
      <c r="Y21" s="10">
        <f t="shared" si="14"/>
        <v>1</v>
      </c>
      <c r="Z21" s="10">
        <f t="shared" si="15"/>
        <v>1</v>
      </c>
      <c r="AA21" s="10">
        <f t="shared" si="16"/>
        <v>1</v>
      </c>
      <c r="AB21" s="12"/>
      <c r="AC21" s="10">
        <f t="shared" si="17"/>
        <v>9.7402597402597407E-2</v>
      </c>
      <c r="AD21" s="10">
        <f t="shared" si="18"/>
        <v>9.7402597402597407E-2</v>
      </c>
      <c r="AE21" s="10">
        <f t="shared" si="19"/>
        <v>9.7402597402597407E-2</v>
      </c>
      <c r="AF21" s="10">
        <f t="shared" si="20"/>
        <v>9.7402597402597407E-2</v>
      </c>
      <c r="AG21" s="10">
        <f t="shared" si="21"/>
        <v>0.01</v>
      </c>
      <c r="AH21" s="10">
        <f t="shared" si="22"/>
        <v>0.01</v>
      </c>
      <c r="AI21" s="10">
        <f t="shared" si="22"/>
        <v>0.01</v>
      </c>
      <c r="AJ21" s="10">
        <f t="shared" si="22"/>
        <v>0.01</v>
      </c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</row>
    <row r="22" spans="1:61" s="7" customFormat="1" x14ac:dyDescent="0.3">
      <c r="A22" s="7" t="s">
        <v>192</v>
      </c>
      <c r="B22" s="11">
        <v>0</v>
      </c>
      <c r="C22" s="11">
        <v>0</v>
      </c>
      <c r="D22" s="11">
        <v>0</v>
      </c>
      <c r="E22" s="10">
        <f t="shared" si="23"/>
        <v>0</v>
      </c>
      <c r="F22" s="10">
        <f t="shared" si="24"/>
        <v>0</v>
      </c>
      <c r="G22" s="10">
        <f t="shared" si="25"/>
        <v>0</v>
      </c>
      <c r="H22" s="10">
        <f t="shared" si="2"/>
        <v>0</v>
      </c>
      <c r="I22" s="10">
        <f t="shared" si="3"/>
        <v>0</v>
      </c>
      <c r="J22" s="10">
        <f t="shared" si="4"/>
        <v>0</v>
      </c>
      <c r="K22" s="10">
        <f t="shared" si="5"/>
        <v>0</v>
      </c>
      <c r="L22" s="10">
        <f t="shared" si="6"/>
        <v>0</v>
      </c>
      <c r="M22" s="10">
        <f t="shared" si="7"/>
        <v>0</v>
      </c>
      <c r="N22" s="5">
        <v>7053.789600000001</v>
      </c>
      <c r="O22" s="11">
        <f t="shared" si="8"/>
        <v>7447.44</v>
      </c>
      <c r="P22" s="12">
        <v>15.600000000000001</v>
      </c>
      <c r="Q22" s="11">
        <v>5130</v>
      </c>
      <c r="R22" s="7">
        <v>0.33789999999999998</v>
      </c>
      <c r="S22" s="12"/>
      <c r="T22" s="10">
        <f t="shared" si="9"/>
        <v>0.68882730173052753</v>
      </c>
      <c r="U22" s="10">
        <f t="shared" si="10"/>
        <v>1</v>
      </c>
      <c r="V22" s="10">
        <f t="shared" si="11"/>
        <v>1</v>
      </c>
      <c r="W22" s="10">
        <f t="shared" si="12"/>
        <v>1</v>
      </c>
      <c r="X22" s="10">
        <f t="shared" si="13"/>
        <v>2.1660256410256408E-2</v>
      </c>
      <c r="Y22" s="10">
        <f t="shared" si="14"/>
        <v>1</v>
      </c>
      <c r="Z22" s="10">
        <f t="shared" si="15"/>
        <v>1</v>
      </c>
      <c r="AA22" s="10">
        <f t="shared" si="16"/>
        <v>1</v>
      </c>
      <c r="AB22" s="12"/>
      <c r="AC22" s="10">
        <f t="shared" si="17"/>
        <v>0.68882730173052753</v>
      </c>
      <c r="AD22" s="10">
        <f t="shared" si="18"/>
        <v>0.68882730173052753</v>
      </c>
      <c r="AE22" s="10">
        <f t="shared" si="19"/>
        <v>0.68882730173052753</v>
      </c>
      <c r="AF22" s="10">
        <f t="shared" si="20"/>
        <v>0.68882730173052753</v>
      </c>
      <c r="AG22" s="10">
        <f t="shared" si="21"/>
        <v>2.1660256410256408E-2</v>
      </c>
      <c r="AH22" s="10">
        <f t="shared" si="22"/>
        <v>2.1660256410256408E-2</v>
      </c>
      <c r="AI22" s="10">
        <f t="shared" si="22"/>
        <v>2.1660256410256408E-2</v>
      </c>
      <c r="AJ22" s="10">
        <f t="shared" si="22"/>
        <v>2.1660256410256408E-2</v>
      </c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</row>
    <row r="23" spans="1:61" s="7" customFormat="1" x14ac:dyDescent="0.3">
      <c r="A23" s="7" t="s">
        <v>169</v>
      </c>
      <c r="B23" s="11">
        <v>243.72559244543208</v>
      </c>
      <c r="C23" s="11">
        <v>0</v>
      </c>
      <c r="D23" s="11">
        <v>0</v>
      </c>
      <c r="E23" s="10">
        <f t="shared" si="23"/>
        <v>2.1425963545949824</v>
      </c>
      <c r="F23" s="10">
        <f t="shared" si="24"/>
        <v>43.829607121016615</v>
      </c>
      <c r="G23" s="10">
        <f t="shared" si="25"/>
        <v>391.91822690375648</v>
      </c>
      <c r="H23" s="10">
        <f t="shared" si="2"/>
        <v>9.5346294648993555E-4</v>
      </c>
      <c r="I23" s="10">
        <f t="shared" si="3"/>
        <v>3.7544037667974987E-3</v>
      </c>
      <c r="J23" s="10">
        <f t="shared" si="4"/>
        <v>0.47442701242818536</v>
      </c>
      <c r="K23" s="10">
        <f t="shared" si="5"/>
        <v>0.43870606640177773</v>
      </c>
      <c r="L23" s="10">
        <f t="shared" si="6"/>
        <v>0</v>
      </c>
      <c r="M23" s="10">
        <f t="shared" si="7"/>
        <v>0</v>
      </c>
      <c r="N23" s="5">
        <v>371069.43120000005</v>
      </c>
      <c r="O23" s="11">
        <f t="shared" si="8"/>
        <v>391777.68</v>
      </c>
      <c r="P23" s="12">
        <v>114.80000000000001</v>
      </c>
      <c r="Q23" s="11">
        <v>377870</v>
      </c>
      <c r="R23" s="7">
        <v>2.0880000000000001</v>
      </c>
      <c r="S23" s="12"/>
      <c r="T23" s="10">
        <f t="shared" si="9"/>
        <v>0.96450109153742503</v>
      </c>
      <c r="U23" s="10">
        <f t="shared" si="10"/>
        <v>1</v>
      </c>
      <c r="V23" s="10">
        <f t="shared" si="11"/>
        <v>1</v>
      </c>
      <c r="W23" s="10">
        <f t="shared" si="12"/>
        <v>1</v>
      </c>
      <c r="X23" s="10">
        <f t="shared" si="13"/>
        <v>1.8188153310104527E-2</v>
      </c>
      <c r="Y23" s="10">
        <f t="shared" si="14"/>
        <v>1</v>
      </c>
      <c r="Z23" s="10">
        <f t="shared" si="15"/>
        <v>1</v>
      </c>
      <c r="AA23" s="10">
        <f t="shared" si="16"/>
        <v>1</v>
      </c>
      <c r="AB23" s="12"/>
      <c r="AC23" s="10">
        <f t="shared" si="17"/>
        <v>0.96450109153742503</v>
      </c>
      <c r="AD23" s="10">
        <f t="shared" si="18"/>
        <v>0.9645065604461045</v>
      </c>
      <c r="AE23" s="10">
        <f t="shared" si="19"/>
        <v>0.96461296520802564</v>
      </c>
      <c r="AF23" s="10">
        <f t="shared" si="20"/>
        <v>0.96550145027890255</v>
      </c>
      <c r="AG23" s="10">
        <f t="shared" si="21"/>
        <v>1.8188153310104527E-2</v>
      </c>
      <c r="AH23" s="10">
        <f t="shared" si="22"/>
        <v>1.8196458736467681E-2</v>
      </c>
      <c r="AI23" s="10">
        <f t="shared" si="22"/>
        <v>1.8220857175668969E-2</v>
      </c>
      <c r="AJ23" s="10">
        <f t="shared" si="22"/>
        <v>2.2320792791186282E-2</v>
      </c>
      <c r="AM23" s="4" t="s">
        <v>210</v>
      </c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</row>
    <row r="24" spans="1:61" s="7" customFormat="1" x14ac:dyDescent="0.3">
      <c r="A24" s="7" t="s">
        <v>19</v>
      </c>
      <c r="B24" s="11">
        <v>87.571674458234327</v>
      </c>
      <c r="C24" s="11">
        <v>0</v>
      </c>
      <c r="D24" s="11">
        <v>0</v>
      </c>
      <c r="E24" s="10">
        <f t="shared" si="23"/>
        <v>0.76984426861943189</v>
      </c>
      <c r="F24" s="10">
        <f t="shared" si="24"/>
        <v>15.748170095404818</v>
      </c>
      <c r="G24" s="10">
        <f t="shared" si="25"/>
        <v>140.81793806019087</v>
      </c>
      <c r="H24" s="10">
        <f t="shared" si="2"/>
        <v>3.4258341900102104E-4</v>
      </c>
      <c r="I24" s="10">
        <f t="shared" si="3"/>
        <v>1.3489737419527248E-3</v>
      </c>
      <c r="J24" s="10">
        <f t="shared" si="4"/>
        <v>0.17046370662061511</v>
      </c>
      <c r="K24" s="10">
        <f t="shared" si="5"/>
        <v>0.1576290140248218</v>
      </c>
      <c r="L24" s="10">
        <f t="shared" si="6"/>
        <v>0</v>
      </c>
      <c r="M24" s="10">
        <f t="shared" si="7"/>
        <v>0</v>
      </c>
      <c r="N24" s="5">
        <v>19433.126700000001</v>
      </c>
      <c r="O24" s="11">
        <f t="shared" si="8"/>
        <v>20517.629999999997</v>
      </c>
      <c r="P24" s="12">
        <v>7.5</v>
      </c>
      <c r="Q24" s="11">
        <v>22160</v>
      </c>
      <c r="R24" s="7">
        <v>0.40089999999999998</v>
      </c>
      <c r="S24" s="12"/>
      <c r="T24" s="10">
        <f t="shared" si="9"/>
        <v>1.0800467695342981</v>
      </c>
      <c r="U24" s="10">
        <f t="shared" si="10"/>
        <v>3</v>
      </c>
      <c r="V24" s="10">
        <f t="shared" si="11"/>
        <v>3</v>
      </c>
      <c r="W24" s="10">
        <f t="shared" si="12"/>
        <v>3</v>
      </c>
      <c r="X24" s="10">
        <f t="shared" si="13"/>
        <v>5.3453333333333332E-2</v>
      </c>
      <c r="Y24" s="10">
        <f t="shared" si="14"/>
        <v>1</v>
      </c>
      <c r="Z24" s="10">
        <f t="shared" si="15"/>
        <v>1</v>
      </c>
      <c r="AA24" s="10">
        <f t="shared" si="16"/>
        <v>1</v>
      </c>
      <c r="AB24" s="12"/>
      <c r="AC24" s="10">
        <f t="shared" si="17"/>
        <v>1.0800467695342981</v>
      </c>
      <c r="AD24" s="10">
        <f t="shared" si="18"/>
        <v>1.0800842906451</v>
      </c>
      <c r="AE24" s="10">
        <f t="shared" si="19"/>
        <v>1.0808143128663208</v>
      </c>
      <c r="AF24" s="10">
        <f t="shared" si="20"/>
        <v>1.0869100348363916</v>
      </c>
      <c r="AG24" s="10">
        <f t="shared" si="21"/>
        <v>5.3453333333333332E-2</v>
      </c>
      <c r="AH24" s="10">
        <f t="shared" si="22"/>
        <v>5.3499011122533462E-2</v>
      </c>
      <c r="AI24" s="10">
        <f t="shared" si="22"/>
        <v>5.3633196498927026E-2</v>
      </c>
      <c r="AJ24" s="10">
        <f t="shared" si="22"/>
        <v>7.618182754941534E-2</v>
      </c>
      <c r="AM24" s="7">
        <v>1</v>
      </c>
      <c r="AN24" s="7" t="s">
        <v>211</v>
      </c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</row>
    <row r="25" spans="1:61" s="7" customFormat="1" x14ac:dyDescent="0.3">
      <c r="A25" s="7" t="s">
        <v>20</v>
      </c>
      <c r="B25" s="11">
        <v>0</v>
      </c>
      <c r="C25" s="11">
        <v>0</v>
      </c>
      <c r="D25" s="11">
        <v>0</v>
      </c>
      <c r="E25" s="10">
        <f t="shared" si="23"/>
        <v>0</v>
      </c>
      <c r="F25" s="10">
        <f t="shared" si="24"/>
        <v>0</v>
      </c>
      <c r="G25" s="10">
        <f t="shared" si="25"/>
        <v>0</v>
      </c>
      <c r="H25" s="10">
        <f t="shared" si="2"/>
        <v>0</v>
      </c>
      <c r="I25" s="10">
        <f t="shared" si="3"/>
        <v>0</v>
      </c>
      <c r="J25" s="10">
        <f t="shared" si="4"/>
        <v>0</v>
      </c>
      <c r="K25" s="10">
        <f t="shared" si="5"/>
        <v>0</v>
      </c>
      <c r="L25" s="10">
        <f t="shared" si="6"/>
        <v>0</v>
      </c>
      <c r="M25" s="10">
        <f t="shared" si="7"/>
        <v>0</v>
      </c>
      <c r="N25" s="5">
        <v>264658.32900000003</v>
      </c>
      <c r="O25" s="11">
        <f t="shared" si="8"/>
        <v>279428.09999999998</v>
      </c>
      <c r="P25" s="12">
        <v>2.4480000000000004</v>
      </c>
      <c r="Q25" s="11">
        <v>258620</v>
      </c>
      <c r="R25" s="7">
        <v>0.193</v>
      </c>
      <c r="S25" s="12"/>
      <c r="T25" s="10">
        <f t="shared" si="9"/>
        <v>0.92553325882400528</v>
      </c>
      <c r="U25" s="10">
        <f t="shared" si="10"/>
        <v>1</v>
      </c>
      <c r="V25" s="10">
        <f t="shared" si="11"/>
        <v>1</v>
      </c>
      <c r="W25" s="10">
        <f t="shared" si="12"/>
        <v>1</v>
      </c>
      <c r="X25" s="10">
        <f t="shared" si="13"/>
        <v>7.8839869281045735E-2</v>
      </c>
      <c r="Y25" s="10">
        <f t="shared" si="14"/>
        <v>1</v>
      </c>
      <c r="Z25" s="10">
        <f t="shared" si="15"/>
        <v>1</v>
      </c>
      <c r="AA25" s="10">
        <f t="shared" si="16"/>
        <v>1</v>
      </c>
      <c r="AB25" s="12"/>
      <c r="AC25" s="10">
        <f t="shared" si="17"/>
        <v>0.92553325882400528</v>
      </c>
      <c r="AD25" s="10">
        <f t="shared" si="18"/>
        <v>0.92553325882400528</v>
      </c>
      <c r="AE25" s="10">
        <f t="shared" si="19"/>
        <v>0.92553325882400528</v>
      </c>
      <c r="AF25" s="10">
        <f t="shared" si="20"/>
        <v>0.92553325882400528</v>
      </c>
      <c r="AG25" s="10">
        <f t="shared" si="21"/>
        <v>7.8839869281045735E-2</v>
      </c>
      <c r="AH25" s="10">
        <f t="shared" si="22"/>
        <v>7.8839869281045735E-2</v>
      </c>
      <c r="AI25" s="10">
        <f t="shared" si="22"/>
        <v>7.8839869281045735E-2</v>
      </c>
      <c r="AJ25" s="10">
        <f t="shared" si="22"/>
        <v>7.8839869281045735E-2</v>
      </c>
      <c r="AM25" s="7">
        <v>2</v>
      </c>
      <c r="AN25" s="7" t="s">
        <v>212</v>
      </c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</row>
    <row r="26" spans="1:61" s="7" customFormat="1" x14ac:dyDescent="0.3">
      <c r="A26" s="7" t="s">
        <v>21</v>
      </c>
      <c r="B26" s="11">
        <v>653.49257187574585</v>
      </c>
      <c r="C26" s="11">
        <v>0</v>
      </c>
      <c r="D26" s="11">
        <v>22744.524885852508</v>
      </c>
      <c r="E26" s="10">
        <f t="shared" si="23"/>
        <v>1045.3836789872694</v>
      </c>
      <c r="F26" s="10">
        <f t="shared" si="24"/>
        <v>18873.340269329605</v>
      </c>
      <c r="G26" s="10">
        <f t="shared" si="25"/>
        <v>73377.197028682218</v>
      </c>
      <c r="H26" s="10">
        <f t="shared" si="2"/>
        <v>0.22247354685221099</v>
      </c>
      <c r="I26" s="10">
        <f t="shared" si="3"/>
        <v>1.7104868591525528</v>
      </c>
      <c r="J26" s="10">
        <f t="shared" si="4"/>
        <v>82.121258205230433</v>
      </c>
      <c r="K26" s="10">
        <f t="shared" si="5"/>
        <v>79.872342734426027</v>
      </c>
      <c r="L26" s="10">
        <f t="shared" si="6"/>
        <v>0</v>
      </c>
      <c r="M26" s="10">
        <f t="shared" si="7"/>
        <v>0</v>
      </c>
      <c r="N26" s="5">
        <v>2144350.182</v>
      </c>
      <c r="O26" s="11">
        <f t="shared" si="8"/>
        <v>2264019.7999999998</v>
      </c>
      <c r="P26" s="12">
        <v>1729.4</v>
      </c>
      <c r="Q26" s="11">
        <v>2368788.0100000002</v>
      </c>
      <c r="R26" s="7">
        <v>64.61</v>
      </c>
      <c r="S26" s="12"/>
      <c r="T26" s="10">
        <f t="shared" si="9"/>
        <v>1.0462753064262071</v>
      </c>
      <c r="U26" s="10">
        <f t="shared" si="10"/>
        <v>3</v>
      </c>
      <c r="V26" s="10">
        <f t="shared" si="11"/>
        <v>3</v>
      </c>
      <c r="W26" s="10">
        <f t="shared" si="12"/>
        <v>3</v>
      </c>
      <c r="X26" s="10">
        <f t="shared" si="13"/>
        <v>3.7359777957673181E-2</v>
      </c>
      <c r="Y26" s="10">
        <f t="shared" si="14"/>
        <v>1</v>
      </c>
      <c r="Z26" s="10">
        <f t="shared" si="15"/>
        <v>1</v>
      </c>
      <c r="AA26" s="10">
        <f t="shared" si="16"/>
        <v>1</v>
      </c>
      <c r="AB26" s="12"/>
      <c r="AC26" s="10">
        <f t="shared" si="17"/>
        <v>1.0462753064262071</v>
      </c>
      <c r="AD26" s="10">
        <f t="shared" si="18"/>
        <v>1.0467370442957202</v>
      </c>
      <c r="AE26" s="10">
        <f t="shared" si="19"/>
        <v>1.0546115145588966</v>
      </c>
      <c r="AF26" s="10">
        <f t="shared" si="20"/>
        <v>1.0786854456964921</v>
      </c>
      <c r="AG26" s="10">
        <f t="shared" si="21"/>
        <v>3.7359777957673181E-2</v>
      </c>
      <c r="AH26" s="10">
        <f t="shared" si="22"/>
        <v>3.748841999933631E-2</v>
      </c>
      <c r="AI26" s="10">
        <f t="shared" si="22"/>
        <v>3.8348841713399182E-2</v>
      </c>
      <c r="AJ26" s="10">
        <f t="shared" si="22"/>
        <v>8.4845182262767674E-2</v>
      </c>
      <c r="AM26" s="7">
        <v>3</v>
      </c>
      <c r="AN26" s="7" t="s">
        <v>213</v>
      </c>
      <c r="AO26" s="7">
        <v>1.1000000000000001</v>
      </c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</row>
    <row r="27" spans="1:61" s="7" customFormat="1" x14ac:dyDescent="0.3">
      <c r="A27" s="7" t="s">
        <v>22</v>
      </c>
      <c r="B27" s="11">
        <v>0</v>
      </c>
      <c r="C27" s="11">
        <v>0</v>
      </c>
      <c r="D27" s="11">
        <v>0</v>
      </c>
      <c r="E27" s="10">
        <f t="shared" si="23"/>
        <v>0</v>
      </c>
      <c r="F27" s="10">
        <f t="shared" si="24"/>
        <v>0</v>
      </c>
      <c r="G27" s="10">
        <f t="shared" si="25"/>
        <v>0</v>
      </c>
      <c r="H27" s="10">
        <f t="shared" si="2"/>
        <v>0</v>
      </c>
      <c r="I27" s="10">
        <f t="shared" si="3"/>
        <v>0</v>
      </c>
      <c r="J27" s="10">
        <f t="shared" si="4"/>
        <v>0</v>
      </c>
      <c r="K27" s="10">
        <f t="shared" si="5"/>
        <v>0</v>
      </c>
      <c r="L27" s="10">
        <f t="shared" si="6"/>
        <v>0</v>
      </c>
      <c r="M27" s="10">
        <f t="shared" si="7"/>
        <v>0</v>
      </c>
      <c r="N27" s="5">
        <v>643.11</v>
      </c>
      <c r="O27" s="11">
        <f t="shared" si="8"/>
        <v>679</v>
      </c>
      <c r="P27" s="12">
        <v>1.7000000000000002</v>
      </c>
      <c r="Q27" s="11">
        <v>134</v>
      </c>
      <c r="R27" s="7">
        <v>9.1999999999999998E-2</v>
      </c>
      <c r="S27" s="12"/>
      <c r="T27" s="10">
        <f t="shared" si="9"/>
        <v>0.19734904270986744</v>
      </c>
      <c r="U27" s="10">
        <f t="shared" si="10"/>
        <v>1</v>
      </c>
      <c r="V27" s="10">
        <f t="shared" si="11"/>
        <v>1</v>
      </c>
      <c r="W27" s="10">
        <f t="shared" si="12"/>
        <v>1</v>
      </c>
      <c r="X27" s="10">
        <f t="shared" si="13"/>
        <v>5.411764705882352E-2</v>
      </c>
      <c r="Y27" s="10">
        <f t="shared" si="14"/>
        <v>1</v>
      </c>
      <c r="Z27" s="10">
        <f t="shared" si="15"/>
        <v>1</v>
      </c>
      <c r="AA27" s="10">
        <f t="shared" si="16"/>
        <v>1</v>
      </c>
      <c r="AB27" s="12"/>
      <c r="AC27" s="10">
        <f t="shared" si="17"/>
        <v>0.19734904270986744</v>
      </c>
      <c r="AD27" s="10">
        <f t="shared" si="18"/>
        <v>0.19734904270986744</v>
      </c>
      <c r="AE27" s="10">
        <f t="shared" si="19"/>
        <v>0.19734904270986744</v>
      </c>
      <c r="AF27" s="10">
        <f t="shared" si="20"/>
        <v>0.19734904270986744</v>
      </c>
      <c r="AG27" s="10">
        <f t="shared" si="21"/>
        <v>5.411764705882352E-2</v>
      </c>
      <c r="AH27" s="10">
        <f t="shared" si="22"/>
        <v>5.411764705882352E-2</v>
      </c>
      <c r="AI27" s="10">
        <f t="shared" si="22"/>
        <v>5.411764705882352E-2</v>
      </c>
      <c r="AJ27" s="10">
        <f t="shared" si="22"/>
        <v>5.411764705882352E-2</v>
      </c>
      <c r="AM27" s="7">
        <v>4</v>
      </c>
      <c r="AN27" s="7" t="s">
        <v>214</v>
      </c>
      <c r="AO27" s="7">
        <v>2</v>
      </c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</row>
    <row r="28" spans="1:61" s="7" customFormat="1" x14ac:dyDescent="0.3">
      <c r="A28" s="7" t="s">
        <v>23</v>
      </c>
      <c r="B28" s="11">
        <v>1153.4788274619191</v>
      </c>
      <c r="C28" s="11">
        <v>0</v>
      </c>
      <c r="D28" s="11">
        <v>0</v>
      </c>
      <c r="E28" s="10">
        <f t="shared" si="23"/>
        <v>10.140254480561925</v>
      </c>
      <c r="F28" s="10">
        <f t="shared" si="24"/>
        <v>207.43215073478981</v>
      </c>
      <c r="G28" s="10">
        <f t="shared" si="25"/>
        <v>1854.8293279094746</v>
      </c>
      <c r="H28" s="10">
        <f t="shared" si="2"/>
        <v>4.5124490641738095E-3</v>
      </c>
      <c r="I28" s="10">
        <f t="shared" si="3"/>
        <v>1.7768446929568048E-2</v>
      </c>
      <c r="J28" s="10">
        <f t="shared" si="4"/>
        <v>2.2453182225188226</v>
      </c>
      <c r="K28" s="10">
        <f t="shared" si="5"/>
        <v>2.0762618894314544</v>
      </c>
      <c r="L28" s="10">
        <f t="shared" si="6"/>
        <v>0</v>
      </c>
      <c r="M28" s="10">
        <f t="shared" si="7"/>
        <v>0</v>
      </c>
      <c r="N28" s="5">
        <v>44580.12</v>
      </c>
      <c r="O28" s="11">
        <f t="shared" si="8"/>
        <v>47068</v>
      </c>
      <c r="P28" s="12">
        <v>4.2600000000000007</v>
      </c>
      <c r="Q28" s="11">
        <v>50470</v>
      </c>
      <c r="R28" s="7">
        <v>5.4249999999999998</v>
      </c>
      <c r="S28" s="12"/>
      <c r="T28" s="10">
        <f t="shared" si="9"/>
        <v>1.0722784057108863</v>
      </c>
      <c r="U28" s="10">
        <f t="shared" si="10"/>
        <v>3</v>
      </c>
      <c r="V28" s="10">
        <f t="shared" si="11"/>
        <v>3</v>
      </c>
      <c r="W28" s="10">
        <f t="shared" si="12"/>
        <v>3</v>
      </c>
      <c r="X28" s="10">
        <f t="shared" si="13"/>
        <v>1.2734741784037555</v>
      </c>
      <c r="Y28" s="10">
        <f t="shared" si="14"/>
        <v>3</v>
      </c>
      <c r="Z28" s="10">
        <f t="shared" si="15"/>
        <v>3</v>
      </c>
      <c r="AA28" s="10">
        <f t="shared" si="16"/>
        <v>4</v>
      </c>
      <c r="AB28" s="12"/>
      <c r="AC28" s="10">
        <f t="shared" si="17"/>
        <v>1.0722784057108863</v>
      </c>
      <c r="AD28" s="10">
        <f t="shared" si="18"/>
        <v>1.0724938441081109</v>
      </c>
      <c r="AE28" s="10">
        <f t="shared" si="19"/>
        <v>1.076685479534605</v>
      </c>
      <c r="AF28" s="10">
        <f t="shared" si="20"/>
        <v>1.111685844478403</v>
      </c>
      <c r="AG28" s="10">
        <f t="shared" si="21"/>
        <v>1.2734741784037555</v>
      </c>
      <c r="AH28" s="10">
        <f t="shared" si="22"/>
        <v>1.2745334387474583</v>
      </c>
      <c r="AI28" s="10">
        <f t="shared" si="22"/>
        <v>1.2776451753355791</v>
      </c>
      <c r="AJ28" s="10">
        <f t="shared" si="22"/>
        <v>1.8005441836898644</v>
      </c>
      <c r="AM28" s="7">
        <v>5</v>
      </c>
      <c r="AN28" s="7" t="s">
        <v>215</v>
      </c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</row>
    <row r="29" spans="1:61" s="7" customFormat="1" x14ac:dyDescent="0.3">
      <c r="A29" s="7" t="s">
        <v>24</v>
      </c>
      <c r="B29" s="11">
        <v>0</v>
      </c>
      <c r="C29" s="11">
        <v>0</v>
      </c>
      <c r="D29" s="11">
        <v>0</v>
      </c>
      <c r="E29" s="10">
        <f t="shared" si="23"/>
        <v>0</v>
      </c>
      <c r="F29" s="10">
        <f t="shared" si="24"/>
        <v>0</v>
      </c>
      <c r="G29" s="10">
        <f t="shared" si="25"/>
        <v>0</v>
      </c>
      <c r="H29" s="10">
        <f t="shared" si="2"/>
        <v>0</v>
      </c>
      <c r="I29" s="10">
        <f t="shared" si="3"/>
        <v>0</v>
      </c>
      <c r="J29" s="10">
        <f t="shared" si="4"/>
        <v>0</v>
      </c>
      <c r="K29" s="10">
        <f t="shared" si="5"/>
        <v>0</v>
      </c>
      <c r="L29" s="10">
        <f t="shared" si="6"/>
        <v>0</v>
      </c>
      <c r="M29" s="10">
        <f t="shared" si="7"/>
        <v>0</v>
      </c>
      <c r="N29" s="5">
        <v>139771.008</v>
      </c>
      <c r="O29" s="11">
        <f t="shared" si="8"/>
        <v>147571.19999999998</v>
      </c>
      <c r="P29" s="12">
        <v>2.7</v>
      </c>
      <c r="Q29" s="11">
        <v>121430</v>
      </c>
      <c r="R29" s="7">
        <v>0.81799999999999995</v>
      </c>
      <c r="S29" s="12"/>
      <c r="T29" s="10">
        <f t="shared" si="9"/>
        <v>0.82285703443490343</v>
      </c>
      <c r="U29" s="10">
        <f t="shared" si="10"/>
        <v>1</v>
      </c>
      <c r="V29" s="10">
        <f t="shared" si="11"/>
        <v>1</v>
      </c>
      <c r="W29" s="10">
        <f t="shared" si="12"/>
        <v>1</v>
      </c>
      <c r="X29" s="10">
        <f t="shared" si="13"/>
        <v>0.30296296296296293</v>
      </c>
      <c r="Y29" s="10">
        <f t="shared" si="14"/>
        <v>1</v>
      </c>
      <c r="Z29" s="10">
        <f t="shared" si="15"/>
        <v>1</v>
      </c>
      <c r="AA29" s="10">
        <f t="shared" si="16"/>
        <v>1</v>
      </c>
      <c r="AB29" s="12"/>
      <c r="AC29" s="10">
        <f t="shared" si="17"/>
        <v>0.82285703443490343</v>
      </c>
      <c r="AD29" s="10">
        <f t="shared" si="18"/>
        <v>0.82285703443490343</v>
      </c>
      <c r="AE29" s="10">
        <f t="shared" si="19"/>
        <v>0.82285703443490343</v>
      </c>
      <c r="AF29" s="10">
        <f t="shared" si="20"/>
        <v>0.82285703443490343</v>
      </c>
      <c r="AG29" s="10">
        <f t="shared" si="21"/>
        <v>0.30296296296296293</v>
      </c>
      <c r="AH29" s="10">
        <f t="shared" si="22"/>
        <v>0.30296296296296293</v>
      </c>
      <c r="AI29" s="10">
        <f t="shared" si="22"/>
        <v>0.30296296296296293</v>
      </c>
      <c r="AJ29" s="10">
        <f t="shared" si="22"/>
        <v>0.30296296296296293</v>
      </c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</row>
    <row r="30" spans="1:61" s="7" customFormat="1" x14ac:dyDescent="0.3">
      <c r="A30" s="7" t="s">
        <v>25</v>
      </c>
      <c r="B30" s="11">
        <v>0</v>
      </c>
      <c r="C30" s="11">
        <v>0</v>
      </c>
      <c r="D30" s="11">
        <v>0</v>
      </c>
      <c r="E30" s="10">
        <f t="shared" si="23"/>
        <v>0</v>
      </c>
      <c r="F30" s="10">
        <f t="shared" si="24"/>
        <v>0</v>
      </c>
      <c r="G30" s="10">
        <f t="shared" si="25"/>
        <v>0</v>
      </c>
      <c r="H30" s="10">
        <f t="shared" si="2"/>
        <v>0</v>
      </c>
      <c r="I30" s="10">
        <f t="shared" si="3"/>
        <v>0</v>
      </c>
      <c r="J30" s="10">
        <f t="shared" si="4"/>
        <v>0</v>
      </c>
      <c r="K30" s="10">
        <f t="shared" si="5"/>
        <v>0</v>
      </c>
      <c r="L30" s="10">
        <f t="shared" si="6"/>
        <v>0</v>
      </c>
      <c r="M30" s="10">
        <f t="shared" si="7"/>
        <v>0</v>
      </c>
      <c r="N30" s="5">
        <v>13746.376800000002</v>
      </c>
      <c r="O30" s="11">
        <f t="shared" si="8"/>
        <v>14513.52</v>
      </c>
      <c r="P30" s="12">
        <v>2.5072000000000001</v>
      </c>
      <c r="Q30" s="11">
        <v>20330</v>
      </c>
      <c r="R30" s="7">
        <v>0.28010000000000002</v>
      </c>
      <c r="S30" s="12"/>
      <c r="T30" s="10">
        <f t="shared" si="9"/>
        <v>1.400762874891825</v>
      </c>
      <c r="U30" s="10">
        <f t="shared" si="10"/>
        <v>3</v>
      </c>
      <c r="V30" s="10">
        <f t="shared" si="11"/>
        <v>3</v>
      </c>
      <c r="W30" s="10">
        <f t="shared" si="12"/>
        <v>3</v>
      </c>
      <c r="X30" s="10">
        <f t="shared" si="13"/>
        <v>0.11171825143586471</v>
      </c>
      <c r="Y30" s="10">
        <f t="shared" si="14"/>
        <v>1</v>
      </c>
      <c r="Z30" s="10">
        <f t="shared" si="15"/>
        <v>1</v>
      </c>
      <c r="AA30" s="10">
        <f t="shared" si="16"/>
        <v>1</v>
      </c>
      <c r="AB30" s="12"/>
      <c r="AC30" s="10">
        <f t="shared" si="17"/>
        <v>1.400762874891825</v>
      </c>
      <c r="AD30" s="10">
        <f t="shared" si="18"/>
        <v>1.400762874891825</v>
      </c>
      <c r="AE30" s="10">
        <f t="shared" si="19"/>
        <v>1.400762874891825</v>
      </c>
      <c r="AF30" s="10">
        <f t="shared" si="20"/>
        <v>1.400762874891825</v>
      </c>
      <c r="AG30" s="10">
        <f t="shared" si="21"/>
        <v>0.11171825143586471</v>
      </c>
      <c r="AH30" s="10">
        <f t="shared" si="22"/>
        <v>0.11171825143586471</v>
      </c>
      <c r="AI30" s="10">
        <f t="shared" si="22"/>
        <v>0.11171825143586471</v>
      </c>
      <c r="AJ30" s="10">
        <f t="shared" si="22"/>
        <v>0.11171825143586471</v>
      </c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</row>
    <row r="31" spans="1:61" s="7" customFormat="1" x14ac:dyDescent="0.3">
      <c r="A31" s="7" t="s">
        <v>26</v>
      </c>
      <c r="B31" s="11">
        <v>0</v>
      </c>
      <c r="C31" s="11">
        <v>0</v>
      </c>
      <c r="D31" s="11">
        <v>0</v>
      </c>
      <c r="E31" s="10">
        <f t="shared" si="23"/>
        <v>0</v>
      </c>
      <c r="F31" s="10">
        <f t="shared" si="24"/>
        <v>0</v>
      </c>
      <c r="G31" s="10">
        <f t="shared" si="25"/>
        <v>0</v>
      </c>
      <c r="H31" s="10">
        <f t="shared" si="2"/>
        <v>0</v>
      </c>
      <c r="I31" s="10">
        <f t="shared" si="3"/>
        <v>0</v>
      </c>
      <c r="J31" s="10">
        <f t="shared" si="4"/>
        <v>0</v>
      </c>
      <c r="K31" s="10">
        <f t="shared" si="5"/>
        <v>0</v>
      </c>
      <c r="L31" s="10">
        <f t="shared" si="6"/>
        <v>0</v>
      </c>
      <c r="M31" s="10">
        <f t="shared" si="7"/>
        <v>0</v>
      </c>
      <c r="N31" s="5">
        <v>60542.706900000005</v>
      </c>
      <c r="O31" s="11">
        <f t="shared" si="8"/>
        <v>63921.409999999996</v>
      </c>
      <c r="P31" s="12">
        <v>95.220000000000013</v>
      </c>
      <c r="Q31" s="11">
        <v>57890</v>
      </c>
      <c r="R31" s="7">
        <v>2.1840000000000002</v>
      </c>
      <c r="S31" s="12"/>
      <c r="T31" s="10">
        <f t="shared" si="9"/>
        <v>0.90564335173457533</v>
      </c>
      <c r="U31" s="10">
        <f t="shared" si="10"/>
        <v>1</v>
      </c>
      <c r="V31" s="10">
        <f t="shared" si="11"/>
        <v>1</v>
      </c>
      <c r="W31" s="10">
        <f t="shared" si="12"/>
        <v>1</v>
      </c>
      <c r="X31" s="10">
        <f t="shared" si="13"/>
        <v>2.2936357908002518E-2</v>
      </c>
      <c r="Y31" s="10">
        <f t="shared" si="14"/>
        <v>1</v>
      </c>
      <c r="Z31" s="10">
        <f t="shared" si="15"/>
        <v>1</v>
      </c>
      <c r="AA31" s="10">
        <f t="shared" si="16"/>
        <v>1</v>
      </c>
      <c r="AB31" s="12"/>
      <c r="AC31" s="10">
        <f t="shared" si="17"/>
        <v>0.90564335173457533</v>
      </c>
      <c r="AD31" s="10">
        <f t="shared" si="18"/>
        <v>0.90564335173457533</v>
      </c>
      <c r="AE31" s="10">
        <f t="shared" si="19"/>
        <v>0.90564335173457533</v>
      </c>
      <c r="AF31" s="10">
        <f t="shared" si="20"/>
        <v>0.90564335173457533</v>
      </c>
      <c r="AG31" s="10">
        <f t="shared" si="21"/>
        <v>2.2936357908002518E-2</v>
      </c>
      <c r="AH31" s="10">
        <f t="shared" si="22"/>
        <v>2.2936357908002518E-2</v>
      </c>
      <c r="AI31" s="10">
        <f t="shared" si="22"/>
        <v>2.2936357908002518E-2</v>
      </c>
      <c r="AJ31" s="10">
        <f t="shared" si="22"/>
        <v>2.2936357908002518E-2</v>
      </c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</row>
    <row r="32" spans="1:61" s="7" customFormat="1" x14ac:dyDescent="0.3">
      <c r="A32" s="7" t="s">
        <v>27</v>
      </c>
      <c r="B32" s="11">
        <v>0</v>
      </c>
      <c r="C32" s="11">
        <v>0</v>
      </c>
      <c r="D32" s="11">
        <v>0</v>
      </c>
      <c r="E32" s="10">
        <f t="shared" si="23"/>
        <v>0</v>
      </c>
      <c r="F32" s="10">
        <f t="shared" si="24"/>
        <v>0</v>
      </c>
      <c r="G32" s="10">
        <f t="shared" si="25"/>
        <v>0</v>
      </c>
      <c r="H32" s="10">
        <f t="shared" si="2"/>
        <v>0</v>
      </c>
      <c r="I32" s="10">
        <f t="shared" si="3"/>
        <v>0</v>
      </c>
      <c r="J32" s="10">
        <f t="shared" si="4"/>
        <v>0</v>
      </c>
      <c r="K32" s="10">
        <f t="shared" si="5"/>
        <v>0</v>
      </c>
      <c r="L32" s="10">
        <f t="shared" si="6"/>
        <v>0</v>
      </c>
      <c r="M32" s="10">
        <f t="shared" si="7"/>
        <v>0</v>
      </c>
      <c r="N32" s="5">
        <v>176739.35760000002</v>
      </c>
      <c r="O32" s="11">
        <f t="shared" si="8"/>
        <v>186602.63999999998</v>
      </c>
      <c r="P32" s="12">
        <v>56.629999999999995</v>
      </c>
      <c r="Q32" s="11">
        <v>97500</v>
      </c>
      <c r="R32" s="7">
        <v>1.0884</v>
      </c>
      <c r="S32" s="12"/>
      <c r="T32" s="10">
        <f t="shared" si="9"/>
        <v>0.52250064629310711</v>
      </c>
      <c r="U32" s="10">
        <f t="shared" si="10"/>
        <v>1</v>
      </c>
      <c r="V32" s="10">
        <f t="shared" si="11"/>
        <v>1</v>
      </c>
      <c r="W32" s="10">
        <f t="shared" si="12"/>
        <v>1</v>
      </c>
      <c r="X32" s="10">
        <f t="shared" si="13"/>
        <v>1.9219494967331805E-2</v>
      </c>
      <c r="Y32" s="10">
        <f t="shared" si="14"/>
        <v>1</v>
      </c>
      <c r="Z32" s="10">
        <f t="shared" si="15"/>
        <v>1</v>
      </c>
      <c r="AA32" s="10">
        <f t="shared" si="16"/>
        <v>1</v>
      </c>
      <c r="AB32" s="12"/>
      <c r="AC32" s="10">
        <f t="shared" si="17"/>
        <v>0.52250064629310711</v>
      </c>
      <c r="AD32" s="10">
        <f t="shared" si="18"/>
        <v>0.52250064629310711</v>
      </c>
      <c r="AE32" s="10">
        <f t="shared" si="19"/>
        <v>0.52250064629310711</v>
      </c>
      <c r="AF32" s="10">
        <f t="shared" si="20"/>
        <v>0.52250064629310711</v>
      </c>
      <c r="AG32" s="10">
        <f t="shared" si="21"/>
        <v>1.9219494967331805E-2</v>
      </c>
      <c r="AH32" s="10">
        <f t="shared" si="22"/>
        <v>1.9219494967331805E-2</v>
      </c>
      <c r="AI32" s="10">
        <f t="shared" si="22"/>
        <v>1.9219494967331805E-2</v>
      </c>
      <c r="AJ32" s="10">
        <f t="shared" si="22"/>
        <v>1.9219494967331805E-2</v>
      </c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</row>
    <row r="33" spans="1:61" s="7" customFormat="1" x14ac:dyDescent="0.3">
      <c r="A33" s="7" t="s">
        <v>28</v>
      </c>
      <c r="B33" s="11">
        <v>7194.2234160710841</v>
      </c>
      <c r="C33" s="11">
        <v>11624.662466246629</v>
      </c>
      <c r="D33" s="11">
        <v>36141.984750121796</v>
      </c>
      <c r="E33" s="10">
        <f t="shared" si="23"/>
        <v>1942.8562888729052</v>
      </c>
      <c r="F33" s="10">
        <f t="shared" si="24"/>
        <v>33581.623349818794</v>
      </c>
      <c r="G33" s="10">
        <f t="shared" si="25"/>
        <v>150000.53204713782</v>
      </c>
      <c r="H33" s="10">
        <f t="shared" si="2"/>
        <v>0.43852411477199216</v>
      </c>
      <c r="I33" s="10">
        <f t="shared" si="3"/>
        <v>3.0556787555162574</v>
      </c>
      <c r="J33" s="10">
        <f t="shared" si="4"/>
        <v>170.77140481858274</v>
      </c>
      <c r="K33" s="10">
        <f t="shared" si="5"/>
        <v>162.06392068947989</v>
      </c>
      <c r="L33" s="10">
        <f t="shared" si="6"/>
        <v>0</v>
      </c>
      <c r="M33" s="10">
        <f t="shared" si="7"/>
        <v>0</v>
      </c>
      <c r="N33" s="5">
        <v>3037964.787</v>
      </c>
      <c r="O33" s="11">
        <f t="shared" si="8"/>
        <v>3207504.3</v>
      </c>
      <c r="P33" s="12">
        <v>580.4</v>
      </c>
      <c r="Q33" s="11">
        <v>577430</v>
      </c>
      <c r="R33" s="7">
        <v>35.6</v>
      </c>
      <c r="S33" s="12"/>
      <c r="T33" s="10">
        <f t="shared" si="9"/>
        <v>0.18002470020071371</v>
      </c>
      <c r="U33" s="10">
        <f t="shared" si="10"/>
        <v>1</v>
      </c>
      <c r="V33" s="10">
        <f t="shared" si="11"/>
        <v>1</v>
      </c>
      <c r="W33" s="10">
        <f t="shared" si="12"/>
        <v>1</v>
      </c>
      <c r="X33" s="10">
        <f t="shared" si="13"/>
        <v>6.1337008959338392E-2</v>
      </c>
      <c r="Y33" s="10">
        <f t="shared" si="14"/>
        <v>1</v>
      </c>
      <c r="Z33" s="10">
        <f t="shared" si="15"/>
        <v>1</v>
      </c>
      <c r="AA33" s="10">
        <f t="shared" si="16"/>
        <v>1</v>
      </c>
      <c r="AB33" s="12"/>
      <c r="AC33" s="10">
        <f t="shared" si="17"/>
        <v>0.18002470020071371</v>
      </c>
      <c r="AD33" s="10">
        <f t="shared" si="18"/>
        <v>0.18063042231584006</v>
      </c>
      <c r="AE33" s="10">
        <f t="shared" si="19"/>
        <v>0.19049440505810664</v>
      </c>
      <c r="AF33" s="10">
        <f t="shared" si="20"/>
        <v>0.22679019699120526</v>
      </c>
      <c r="AG33" s="10">
        <f t="shared" si="21"/>
        <v>6.1337008959338392E-2</v>
      </c>
      <c r="AH33" s="10">
        <f t="shared" si="22"/>
        <v>6.20925639468849E-2</v>
      </c>
      <c r="AI33" s="10">
        <f t="shared" si="22"/>
        <v>6.6601789723494592E-2</v>
      </c>
      <c r="AJ33" s="10">
        <f t="shared" si="22"/>
        <v>0.35556754793001849</v>
      </c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</row>
    <row r="34" spans="1:61" s="7" customFormat="1" x14ac:dyDescent="0.3">
      <c r="A34" s="7" t="s">
        <v>29</v>
      </c>
      <c r="B34" s="11">
        <v>0</v>
      </c>
      <c r="C34" s="11">
        <v>0</v>
      </c>
      <c r="D34" s="11">
        <v>0</v>
      </c>
      <c r="E34" s="10">
        <f t="shared" si="23"/>
        <v>0</v>
      </c>
      <c r="F34" s="10">
        <f t="shared" si="24"/>
        <v>0</v>
      </c>
      <c r="G34" s="10">
        <f t="shared" si="25"/>
        <v>0</v>
      </c>
      <c r="H34" s="10">
        <f t="shared" si="2"/>
        <v>0</v>
      </c>
      <c r="I34" s="10">
        <f t="shared" si="3"/>
        <v>0</v>
      </c>
      <c r="J34" s="10">
        <f t="shared" si="4"/>
        <v>0</v>
      </c>
      <c r="K34" s="10">
        <f t="shared" si="5"/>
        <v>0</v>
      </c>
      <c r="L34" s="10">
        <f t="shared" si="6"/>
        <v>0</v>
      </c>
      <c r="M34" s="10">
        <f t="shared" si="7"/>
        <v>0</v>
      </c>
      <c r="N34" s="5">
        <v>265166.85000000009</v>
      </c>
      <c r="O34" s="11">
        <f t="shared" si="8"/>
        <v>279965.00000000006</v>
      </c>
      <c r="P34" s="12">
        <v>28.200000000000003</v>
      </c>
      <c r="Q34" s="11">
        <v>50800</v>
      </c>
      <c r="R34" s="7">
        <v>7.2499999999999995E-2</v>
      </c>
      <c r="S34" s="12"/>
      <c r="T34" s="10">
        <f t="shared" si="9"/>
        <v>0.1814512528351758</v>
      </c>
      <c r="U34" s="10">
        <f t="shared" si="10"/>
        <v>1</v>
      </c>
      <c r="V34" s="10">
        <f t="shared" si="11"/>
        <v>1</v>
      </c>
      <c r="W34" s="10">
        <f t="shared" si="12"/>
        <v>1</v>
      </c>
      <c r="X34" s="10">
        <f t="shared" si="13"/>
        <v>2.5709219858156022E-3</v>
      </c>
      <c r="Y34" s="10">
        <f t="shared" si="14"/>
        <v>1</v>
      </c>
      <c r="Z34" s="10">
        <f t="shared" si="15"/>
        <v>1</v>
      </c>
      <c r="AA34" s="10">
        <f t="shared" si="16"/>
        <v>1</v>
      </c>
      <c r="AB34" s="12"/>
      <c r="AC34" s="10">
        <f t="shared" si="17"/>
        <v>0.1814512528351758</v>
      </c>
      <c r="AD34" s="10">
        <f t="shared" si="18"/>
        <v>0.1814512528351758</v>
      </c>
      <c r="AE34" s="10">
        <f t="shared" si="19"/>
        <v>0.1814512528351758</v>
      </c>
      <c r="AF34" s="10">
        <f t="shared" si="20"/>
        <v>0.1814512528351758</v>
      </c>
      <c r="AG34" s="10">
        <f t="shared" si="21"/>
        <v>2.5709219858156022E-3</v>
      </c>
      <c r="AH34" s="10">
        <f t="shared" si="22"/>
        <v>2.5709219858156022E-3</v>
      </c>
      <c r="AI34" s="10">
        <f t="shared" si="22"/>
        <v>2.5709219858156022E-3</v>
      </c>
      <c r="AJ34" s="10">
        <f t="shared" si="22"/>
        <v>2.5709219858156022E-3</v>
      </c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</row>
    <row r="35" spans="1:61" s="7" customFormat="1" x14ac:dyDescent="0.3">
      <c r="A35" s="7" t="s">
        <v>193</v>
      </c>
      <c r="B35" s="11">
        <v>0</v>
      </c>
      <c r="C35" s="11">
        <v>0</v>
      </c>
      <c r="D35" s="11">
        <v>0</v>
      </c>
      <c r="E35" s="10">
        <f t="shared" si="23"/>
        <v>0</v>
      </c>
      <c r="F35" s="10">
        <f t="shared" si="24"/>
        <v>0</v>
      </c>
      <c r="G35" s="10">
        <f t="shared" si="25"/>
        <v>0</v>
      </c>
      <c r="H35" s="10">
        <f t="shared" si="2"/>
        <v>0</v>
      </c>
      <c r="I35" s="10">
        <f t="shared" si="3"/>
        <v>0</v>
      </c>
      <c r="J35" s="10">
        <f t="shared" si="4"/>
        <v>0</v>
      </c>
      <c r="K35" s="10">
        <f t="shared" si="5"/>
        <v>0</v>
      </c>
      <c r="L35" s="10">
        <f t="shared" si="6"/>
        <v>0</v>
      </c>
      <c r="M35" s="10">
        <f t="shared" si="7"/>
        <v>0</v>
      </c>
      <c r="N35" s="5">
        <v>789812.01</v>
      </c>
      <c r="O35" s="11">
        <f t="shared" si="8"/>
        <v>833889</v>
      </c>
      <c r="P35" s="12">
        <v>9.14</v>
      </c>
      <c r="Q35" s="11">
        <v>502380</v>
      </c>
      <c r="R35" s="7">
        <v>0.87960000000000005</v>
      </c>
      <c r="S35" s="12"/>
      <c r="T35" s="10">
        <f t="shared" si="9"/>
        <v>0.60245428348377306</v>
      </c>
      <c r="U35" s="10">
        <f t="shared" si="10"/>
        <v>1</v>
      </c>
      <c r="V35" s="10">
        <f t="shared" si="11"/>
        <v>1</v>
      </c>
      <c r="W35" s="10">
        <f t="shared" si="12"/>
        <v>1</v>
      </c>
      <c r="X35" s="10">
        <f t="shared" si="13"/>
        <v>9.6236323851203495E-2</v>
      </c>
      <c r="Y35" s="10">
        <f t="shared" si="14"/>
        <v>1</v>
      </c>
      <c r="Z35" s="10">
        <f t="shared" si="15"/>
        <v>1</v>
      </c>
      <c r="AA35" s="10">
        <f t="shared" si="16"/>
        <v>1</v>
      </c>
      <c r="AB35" s="12"/>
      <c r="AC35" s="10">
        <f t="shared" si="17"/>
        <v>0.60245428348377306</v>
      </c>
      <c r="AD35" s="10">
        <f t="shared" si="18"/>
        <v>0.60245428348377306</v>
      </c>
      <c r="AE35" s="10">
        <f t="shared" si="19"/>
        <v>0.60245428348377306</v>
      </c>
      <c r="AF35" s="10">
        <f t="shared" si="20"/>
        <v>0.60245428348377306</v>
      </c>
      <c r="AG35" s="10">
        <f t="shared" si="21"/>
        <v>9.6236323851203495E-2</v>
      </c>
      <c r="AH35" s="10">
        <f t="shared" si="22"/>
        <v>9.6236323851203495E-2</v>
      </c>
      <c r="AI35" s="10">
        <f t="shared" si="22"/>
        <v>9.6236323851203495E-2</v>
      </c>
      <c r="AJ35" s="10">
        <f t="shared" si="22"/>
        <v>9.6236323851203495E-2</v>
      </c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</row>
    <row r="36" spans="1:61" s="7" customFormat="1" x14ac:dyDescent="0.3">
      <c r="A36" s="7" t="s">
        <v>30</v>
      </c>
      <c r="B36" s="11">
        <v>74.913116176309202</v>
      </c>
      <c r="C36" s="11">
        <v>3645.3645364536465</v>
      </c>
      <c r="D36" s="11">
        <v>0</v>
      </c>
      <c r="E36" s="10">
        <f t="shared" si="23"/>
        <v>72.026033162192903</v>
      </c>
      <c r="F36" s="10">
        <f t="shared" si="24"/>
        <v>792.45849215064516</v>
      </c>
      <c r="G36" s="10">
        <f t="shared" si="25"/>
        <v>7490.5658284711026</v>
      </c>
      <c r="H36" s="10">
        <f t="shared" si="2"/>
        <v>1.9397778475304408E-2</v>
      </c>
      <c r="I36" s="10">
        <f t="shared" si="3"/>
        <v>7.7299486612880372E-2</v>
      </c>
      <c r="J36" s="10">
        <f t="shared" si="4"/>
        <v>9.0187284628803113</v>
      </c>
      <c r="K36" s="10">
        <f t="shared" si="5"/>
        <v>7.6807481995764046</v>
      </c>
      <c r="L36" s="10">
        <f t="shared" si="6"/>
        <v>0</v>
      </c>
      <c r="M36" s="10">
        <f t="shared" si="7"/>
        <v>0</v>
      </c>
      <c r="N36" s="5">
        <v>363894.84299999999</v>
      </c>
      <c r="O36" s="11">
        <f t="shared" si="8"/>
        <v>384202.69999999995</v>
      </c>
      <c r="P36" s="12">
        <v>184.61199999999999</v>
      </c>
      <c r="Q36" s="11">
        <v>157100</v>
      </c>
      <c r="R36" s="7">
        <v>85.128</v>
      </c>
      <c r="S36" s="12"/>
      <c r="T36" s="10">
        <f t="shared" si="9"/>
        <v>0.40889874017022793</v>
      </c>
      <c r="U36" s="10">
        <f t="shared" si="10"/>
        <v>1</v>
      </c>
      <c r="V36" s="10">
        <f t="shared" si="11"/>
        <v>1</v>
      </c>
      <c r="W36" s="10">
        <f t="shared" si="12"/>
        <v>1</v>
      </c>
      <c r="X36" s="10">
        <f t="shared" si="13"/>
        <v>0.4611184538383204</v>
      </c>
      <c r="Y36" s="10">
        <f t="shared" si="14"/>
        <v>1</v>
      </c>
      <c r="Z36" s="10">
        <f t="shared" si="15"/>
        <v>1</v>
      </c>
      <c r="AA36" s="10">
        <f t="shared" si="16"/>
        <v>1</v>
      </c>
      <c r="AB36" s="12"/>
      <c r="AC36" s="10">
        <f t="shared" si="17"/>
        <v>0.40889874017022793</v>
      </c>
      <c r="AD36" s="10">
        <f t="shared" si="18"/>
        <v>0.40908620900676185</v>
      </c>
      <c r="AE36" s="10">
        <f t="shared" si="19"/>
        <v>0.41096134538396184</v>
      </c>
      <c r="AF36" s="10">
        <f t="shared" si="20"/>
        <v>0.42839513056121448</v>
      </c>
      <c r="AG36" s="10">
        <f t="shared" si="21"/>
        <v>0.4611184538383204</v>
      </c>
      <c r="AH36" s="10">
        <f t="shared" si="22"/>
        <v>0.46122352706473746</v>
      </c>
      <c r="AI36" s="10">
        <f t="shared" si="22"/>
        <v>0.46153716706721604</v>
      </c>
      <c r="AJ36" s="10">
        <f t="shared" si="22"/>
        <v>0.5099707953051823</v>
      </c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</row>
    <row r="37" spans="1:61" s="7" customFormat="1" x14ac:dyDescent="0.3">
      <c r="A37" s="7" t="s">
        <v>31</v>
      </c>
      <c r="B37" s="11">
        <v>59581.103130881856</v>
      </c>
      <c r="C37" s="11">
        <v>186318.63186318637</v>
      </c>
      <c r="D37" s="11">
        <v>368897.49951848452</v>
      </c>
      <c r="E37" s="10">
        <f t="shared" si="23"/>
        <v>21033.536388631495</v>
      </c>
      <c r="F37" s="10">
        <f t="shared" si="24"/>
        <v>354733.46288612741</v>
      </c>
      <c r="G37" s="10">
        <f t="shared" si="25"/>
        <v>1645576.5346086556</v>
      </c>
      <c r="H37" s="10">
        <f t="shared" si="2"/>
        <v>4.7764205673529485</v>
      </c>
      <c r="I37" s="10">
        <f t="shared" si="3"/>
        <v>32.389102089891423</v>
      </c>
      <c r="J37" s="10">
        <f t="shared" si="4"/>
        <v>1880.7898553315545</v>
      </c>
      <c r="K37" s="10">
        <f t="shared" si="5"/>
        <v>1769.3109019263393</v>
      </c>
      <c r="L37" s="10">
        <f t="shared" si="6"/>
        <v>0</v>
      </c>
      <c r="M37" s="10">
        <f t="shared" si="7"/>
        <v>0</v>
      </c>
      <c r="N37" s="5">
        <v>4650101.7966000009</v>
      </c>
      <c r="O37" s="11">
        <f>N37/0.663*0.8</f>
        <v>5610982.5600000015</v>
      </c>
      <c r="P37" s="12">
        <v>568.04399999999998</v>
      </c>
      <c r="Q37" s="11">
        <v>5277140</v>
      </c>
      <c r="R37" s="7">
        <v>591.79999999999995</v>
      </c>
      <c r="S37" s="12"/>
      <c r="T37" s="10">
        <f t="shared" si="9"/>
        <v>0.94050194303223755</v>
      </c>
      <c r="U37" s="10">
        <f t="shared" si="10"/>
        <v>1</v>
      </c>
      <c r="V37" s="10">
        <f t="shared" si="11"/>
        <v>2</v>
      </c>
      <c r="W37" s="10">
        <f t="shared" si="12"/>
        <v>2</v>
      </c>
      <c r="X37" s="10">
        <f t="shared" si="13"/>
        <v>1.0418207040299694</v>
      </c>
      <c r="Y37" s="10">
        <f t="shared" si="14"/>
        <v>3</v>
      </c>
      <c r="Z37" s="10">
        <f t="shared" si="15"/>
        <v>3</v>
      </c>
      <c r="AA37" s="10">
        <f t="shared" si="16"/>
        <v>5</v>
      </c>
      <c r="AB37" s="12"/>
      <c r="AC37" s="10">
        <f t="shared" si="17"/>
        <v>0.94050194303223755</v>
      </c>
      <c r="AD37" s="10">
        <f t="shared" si="18"/>
        <v>0.94425057995343875</v>
      </c>
      <c r="AE37" s="10">
        <f t="shared" si="19"/>
        <v>1.0037232165066872</v>
      </c>
      <c r="AF37" s="10">
        <f t="shared" si="20"/>
        <v>1.2337797276291398</v>
      </c>
      <c r="AG37" s="10">
        <f t="shared" si="21"/>
        <v>1.0418207040299694</v>
      </c>
      <c r="AH37" s="10">
        <f t="shared" si="22"/>
        <v>1.0502292438039182</v>
      </c>
      <c r="AI37" s="10">
        <f t="shared" si="22"/>
        <v>1.0988393541519519</v>
      </c>
      <c r="AJ37" s="10">
        <f t="shared" si="22"/>
        <v>4.3528139639386296</v>
      </c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</row>
    <row r="38" spans="1:61" s="7" customFormat="1" x14ac:dyDescent="0.3">
      <c r="A38" s="7" t="s">
        <v>32</v>
      </c>
      <c r="B38" s="11">
        <v>243.98527903739975</v>
      </c>
      <c r="C38" s="11">
        <v>0</v>
      </c>
      <c r="D38" s="11">
        <v>11528.046859952641</v>
      </c>
      <c r="E38" s="10">
        <f t="shared" si="23"/>
        <v>529.08509968519013</v>
      </c>
      <c r="F38" s="10">
        <f t="shared" si="24"/>
        <v>9550.2516065540385</v>
      </c>
      <c r="G38" s="10">
        <f t="shared" si="25"/>
        <v>37050.902311026315</v>
      </c>
      <c r="H38" s="10">
        <f t="shared" si="2"/>
        <v>0.11241929074681607</v>
      </c>
      <c r="I38" s="10">
        <f t="shared" si="3"/>
        <v>0.86561527490909862</v>
      </c>
      <c r="J38" s="10">
        <f t="shared" si="4"/>
        <v>41.453291264168826</v>
      </c>
      <c r="K38" s="10">
        <f t="shared" si="5"/>
        <v>40.326215637703456</v>
      </c>
      <c r="L38" s="10">
        <f t="shared" si="6"/>
        <v>0</v>
      </c>
      <c r="M38" s="10">
        <f t="shared" si="7"/>
        <v>0</v>
      </c>
      <c r="N38" s="5">
        <v>23112.18</v>
      </c>
      <c r="O38" s="11">
        <f t="shared" si="8"/>
        <v>24402</v>
      </c>
      <c r="P38" s="12">
        <v>100</v>
      </c>
      <c r="Q38" s="11">
        <v>7901</v>
      </c>
      <c r="R38" s="7">
        <v>1</v>
      </c>
      <c r="S38" s="12"/>
      <c r="T38" s="10">
        <f t="shared" si="9"/>
        <v>0.32378493566101141</v>
      </c>
      <c r="U38" s="10">
        <f t="shared" si="10"/>
        <v>1</v>
      </c>
      <c r="V38" s="10">
        <f t="shared" si="11"/>
        <v>1</v>
      </c>
      <c r="W38" s="10">
        <f t="shared" si="12"/>
        <v>2</v>
      </c>
      <c r="X38" s="10">
        <f t="shared" si="13"/>
        <v>0.01</v>
      </c>
      <c r="Y38" s="10">
        <f t="shared" si="14"/>
        <v>1</v>
      </c>
      <c r="Z38" s="10">
        <f t="shared" si="15"/>
        <v>1</v>
      </c>
      <c r="AA38" s="10">
        <f t="shared" si="16"/>
        <v>1</v>
      </c>
      <c r="AB38" s="12"/>
      <c r="AC38" s="10">
        <f t="shared" si="17"/>
        <v>0.32378493566101141</v>
      </c>
      <c r="AD38" s="10">
        <f t="shared" si="18"/>
        <v>0.34546697400562204</v>
      </c>
      <c r="AE38" s="10">
        <f t="shared" si="19"/>
        <v>0.71515661038251133</v>
      </c>
      <c r="AF38" s="10">
        <f t="shared" si="20"/>
        <v>1.8421400832319612</v>
      </c>
      <c r="AG38" s="10">
        <f t="shared" si="21"/>
        <v>0.01</v>
      </c>
      <c r="AH38" s="10">
        <f t="shared" si="22"/>
        <v>1.1124192907468159E-2</v>
      </c>
      <c r="AI38" s="10">
        <f t="shared" si="22"/>
        <v>1.8656152749090986E-2</v>
      </c>
      <c r="AJ38" s="10">
        <f t="shared" si="22"/>
        <v>0.42453291264168824</v>
      </c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</row>
    <row r="39" spans="1:61" s="7" customFormat="1" x14ac:dyDescent="0.3">
      <c r="A39" s="7" t="s">
        <v>33</v>
      </c>
      <c r="B39" s="11">
        <v>169.24136759635627</v>
      </c>
      <c r="C39" s="11">
        <v>0</v>
      </c>
      <c r="D39" s="11">
        <v>0</v>
      </c>
      <c r="E39" s="10">
        <f t="shared" si="23"/>
        <v>1.4878041063324472</v>
      </c>
      <c r="F39" s="10">
        <f t="shared" si="24"/>
        <v>30.434976384487076</v>
      </c>
      <c r="G39" s="10">
        <f t="shared" si="25"/>
        <v>272.14530916354721</v>
      </c>
      <c r="H39" s="10">
        <f t="shared" si="2"/>
        <v>6.6207808296757506E-4</v>
      </c>
      <c r="I39" s="10">
        <f t="shared" si="3"/>
        <v>2.6070320380654341E-3</v>
      </c>
      <c r="J39" s="10">
        <f t="shared" si="4"/>
        <v>0.32943883981316574</v>
      </c>
      <c r="K39" s="10">
        <f t="shared" si="5"/>
        <v>0.30463446167344133</v>
      </c>
      <c r="L39" s="10">
        <f t="shared" si="6"/>
        <v>0</v>
      </c>
      <c r="M39" s="10">
        <f t="shared" si="7"/>
        <v>0</v>
      </c>
      <c r="N39" s="5">
        <v>322105.88669999997</v>
      </c>
      <c r="O39" s="11">
        <f t="shared" si="8"/>
        <v>340081.62999999989</v>
      </c>
      <c r="P39" s="12">
        <v>472</v>
      </c>
      <c r="Q39" s="11">
        <v>482428.22500000003</v>
      </c>
      <c r="R39" s="7">
        <v>27.9833474936</v>
      </c>
      <c r="S39" s="12"/>
      <c r="T39" s="10">
        <f t="shared" si="9"/>
        <v>1.418565963118914</v>
      </c>
      <c r="U39" s="10">
        <f t="shared" si="10"/>
        <v>3</v>
      </c>
      <c r="V39" s="10">
        <f t="shared" si="11"/>
        <v>3</v>
      </c>
      <c r="W39" s="10">
        <f t="shared" si="12"/>
        <v>3</v>
      </c>
      <c r="X39" s="10">
        <f t="shared" si="13"/>
        <v>5.9286753164406777E-2</v>
      </c>
      <c r="Y39" s="10">
        <f t="shared" si="14"/>
        <v>1</v>
      </c>
      <c r="Z39" s="10">
        <f t="shared" si="15"/>
        <v>1</v>
      </c>
      <c r="AA39" s="10">
        <f t="shared" si="16"/>
        <v>1</v>
      </c>
      <c r="AB39" s="12"/>
      <c r="AC39" s="10">
        <f t="shared" si="17"/>
        <v>1.418565963118914</v>
      </c>
      <c r="AD39" s="10">
        <f t="shared" si="18"/>
        <v>1.4185703379629959</v>
      </c>
      <c r="AE39" s="10">
        <f t="shared" si="19"/>
        <v>1.4186554562690867</v>
      </c>
      <c r="AF39" s="10">
        <f t="shared" si="20"/>
        <v>1.4193661983717372</v>
      </c>
      <c r="AG39" s="10">
        <f t="shared" si="21"/>
        <v>5.9286753164406777E-2</v>
      </c>
      <c r="AH39" s="10">
        <f t="shared" si="22"/>
        <v>5.9288155872209675E-2</v>
      </c>
      <c r="AI39" s="10">
        <f t="shared" si="22"/>
        <v>5.9292276537368779E-2</v>
      </c>
      <c r="AJ39" s="10">
        <f t="shared" si="22"/>
        <v>5.9984716808078736E-2</v>
      </c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</row>
    <row r="40" spans="1:61" s="7" customFormat="1" x14ac:dyDescent="0.3">
      <c r="A40" s="7" t="s">
        <v>34</v>
      </c>
      <c r="B40" s="11">
        <v>0</v>
      </c>
      <c r="C40" s="11">
        <v>0</v>
      </c>
      <c r="D40" s="11">
        <v>0</v>
      </c>
      <c r="E40" s="10">
        <f t="shared" si="23"/>
        <v>0</v>
      </c>
      <c r="F40" s="10">
        <f t="shared" si="24"/>
        <v>0</v>
      </c>
      <c r="G40" s="10">
        <f t="shared" si="25"/>
        <v>0</v>
      </c>
      <c r="H40" s="10">
        <f t="shared" si="2"/>
        <v>0</v>
      </c>
      <c r="I40" s="10">
        <f t="shared" si="3"/>
        <v>0</v>
      </c>
      <c r="J40" s="10">
        <f t="shared" si="4"/>
        <v>0</v>
      </c>
      <c r="K40" s="10">
        <f t="shared" si="5"/>
        <v>0</v>
      </c>
      <c r="L40" s="10">
        <f t="shared" si="6"/>
        <v>0</v>
      </c>
      <c r="M40" s="10">
        <f t="shared" si="7"/>
        <v>0</v>
      </c>
      <c r="N40" s="5">
        <v>80581.020000000019</v>
      </c>
      <c r="O40" s="11">
        <f t="shared" si="8"/>
        <v>85078.000000000015</v>
      </c>
      <c r="P40" s="12">
        <v>166.4</v>
      </c>
      <c r="Q40" s="11">
        <v>106280</v>
      </c>
      <c r="R40" s="7">
        <v>4.5999999999999999E-2</v>
      </c>
      <c r="S40" s="12"/>
      <c r="T40" s="10">
        <f t="shared" si="9"/>
        <v>1.2492066104045698</v>
      </c>
      <c r="U40" s="10">
        <f t="shared" si="10"/>
        <v>3</v>
      </c>
      <c r="V40" s="10">
        <f t="shared" si="11"/>
        <v>3</v>
      </c>
      <c r="W40" s="10">
        <f t="shared" si="12"/>
        <v>3</v>
      </c>
      <c r="X40" s="10">
        <f t="shared" si="13"/>
        <v>2.7644230769230768E-4</v>
      </c>
      <c r="Y40" s="10">
        <f t="shared" si="14"/>
        <v>1</v>
      </c>
      <c r="Z40" s="10">
        <f t="shared" si="15"/>
        <v>1</v>
      </c>
      <c r="AA40" s="10">
        <f t="shared" si="16"/>
        <v>1</v>
      </c>
      <c r="AB40" s="12"/>
      <c r="AC40" s="10">
        <f t="shared" si="17"/>
        <v>1.2492066104045698</v>
      </c>
      <c r="AD40" s="10">
        <f t="shared" si="18"/>
        <v>1.2492066104045698</v>
      </c>
      <c r="AE40" s="10">
        <f t="shared" si="19"/>
        <v>1.2492066104045698</v>
      </c>
      <c r="AF40" s="10">
        <f t="shared" si="20"/>
        <v>1.2492066104045698</v>
      </c>
      <c r="AG40" s="10">
        <f t="shared" si="21"/>
        <v>2.7644230769230768E-4</v>
      </c>
      <c r="AH40" s="10">
        <f t="shared" si="22"/>
        <v>2.7644230769230768E-4</v>
      </c>
      <c r="AI40" s="10">
        <f t="shared" si="22"/>
        <v>2.7644230769230768E-4</v>
      </c>
      <c r="AJ40" s="10">
        <f t="shared" si="22"/>
        <v>2.7644230769230768E-4</v>
      </c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</row>
    <row r="41" spans="1:61" s="7" customFormat="1" x14ac:dyDescent="0.3">
      <c r="A41" s="7" t="s">
        <v>35</v>
      </c>
      <c r="B41" s="11">
        <v>0</v>
      </c>
      <c r="C41" s="11">
        <v>0</v>
      </c>
      <c r="D41" s="11">
        <v>0</v>
      </c>
      <c r="E41" s="10">
        <f t="shared" si="23"/>
        <v>0</v>
      </c>
      <c r="F41" s="10">
        <f t="shared" si="24"/>
        <v>0</v>
      </c>
      <c r="G41" s="10">
        <f t="shared" si="25"/>
        <v>0</v>
      </c>
      <c r="H41" s="10">
        <f t="shared" si="2"/>
        <v>0</v>
      </c>
      <c r="I41" s="10">
        <f t="shared" si="3"/>
        <v>0</v>
      </c>
      <c r="J41" s="10">
        <f t="shared" si="4"/>
        <v>0</v>
      </c>
      <c r="K41" s="10">
        <f t="shared" si="5"/>
        <v>0</v>
      </c>
      <c r="L41" s="10">
        <f t="shared" si="6"/>
        <v>0</v>
      </c>
      <c r="M41" s="10">
        <f t="shared" si="7"/>
        <v>0</v>
      </c>
      <c r="N41" s="5">
        <v>55.758299999999998</v>
      </c>
      <c r="O41" s="11">
        <f t="shared" si="8"/>
        <v>58.86999999999999</v>
      </c>
      <c r="P41" s="12">
        <v>0.01</v>
      </c>
      <c r="Q41" s="11">
        <v>15</v>
      </c>
      <c r="R41" s="7">
        <v>0</v>
      </c>
      <c r="S41" s="12"/>
      <c r="T41" s="10">
        <f t="shared" si="9"/>
        <v>0.25479870901987434</v>
      </c>
      <c r="U41" s="10">
        <f t="shared" si="10"/>
        <v>1</v>
      </c>
      <c r="V41" s="10">
        <f t="shared" si="11"/>
        <v>1</v>
      </c>
      <c r="W41" s="10">
        <f t="shared" si="12"/>
        <v>1</v>
      </c>
      <c r="X41" s="10">
        <f t="shared" si="13"/>
        <v>0</v>
      </c>
      <c r="Y41" s="10">
        <f t="shared" si="14"/>
        <v>1</v>
      </c>
      <c r="Z41" s="10">
        <f t="shared" si="15"/>
        <v>1</v>
      </c>
      <c r="AA41" s="10">
        <f t="shared" si="16"/>
        <v>1</v>
      </c>
      <c r="AB41" s="12"/>
      <c r="AC41" s="10">
        <f t="shared" si="17"/>
        <v>0.25479870901987434</v>
      </c>
      <c r="AD41" s="10">
        <f t="shared" si="18"/>
        <v>0.25479870901987434</v>
      </c>
      <c r="AE41" s="10">
        <f t="shared" si="19"/>
        <v>0.25479870901987434</v>
      </c>
      <c r="AF41" s="10">
        <f t="shared" si="20"/>
        <v>0.25479870901987434</v>
      </c>
      <c r="AG41" s="10">
        <v>0</v>
      </c>
      <c r="AH41" s="10">
        <f t="shared" si="22"/>
        <v>0</v>
      </c>
      <c r="AI41" s="10">
        <f t="shared" si="22"/>
        <v>0</v>
      </c>
      <c r="AJ41" s="10">
        <f t="shared" si="22"/>
        <v>0</v>
      </c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</row>
    <row r="42" spans="1:61" s="7" customFormat="1" x14ac:dyDescent="0.3">
      <c r="A42" s="7" t="s">
        <v>36</v>
      </c>
      <c r="B42" s="11">
        <v>0</v>
      </c>
      <c r="C42" s="11">
        <v>0</v>
      </c>
      <c r="D42" s="11">
        <v>0</v>
      </c>
      <c r="E42" s="10">
        <f t="shared" si="23"/>
        <v>0</v>
      </c>
      <c r="F42" s="10">
        <f t="shared" si="24"/>
        <v>0</v>
      </c>
      <c r="G42" s="10">
        <f t="shared" si="25"/>
        <v>0</v>
      </c>
      <c r="H42" s="10">
        <f t="shared" si="2"/>
        <v>0</v>
      </c>
      <c r="I42" s="10">
        <f t="shared" si="3"/>
        <v>0</v>
      </c>
      <c r="J42" s="10">
        <f t="shared" si="4"/>
        <v>0</v>
      </c>
      <c r="K42" s="10">
        <f t="shared" si="5"/>
        <v>0</v>
      </c>
      <c r="L42" s="10">
        <f t="shared" si="6"/>
        <v>0</v>
      </c>
      <c r="M42" s="10">
        <f t="shared" si="7"/>
        <v>0</v>
      </c>
      <c r="N42" s="5">
        <v>13705.071900000003</v>
      </c>
      <c r="O42" s="11">
        <f t="shared" si="8"/>
        <v>14469.910000000002</v>
      </c>
      <c r="P42" s="12">
        <v>22.6</v>
      </c>
      <c r="Q42" s="11">
        <v>17615</v>
      </c>
      <c r="R42" s="7">
        <v>3.0535299999999999</v>
      </c>
      <c r="S42" s="12"/>
      <c r="T42" s="10">
        <f t="shared" si="9"/>
        <v>1.2173538052413593</v>
      </c>
      <c r="U42" s="10">
        <f t="shared" si="10"/>
        <v>3</v>
      </c>
      <c r="V42" s="10">
        <f t="shared" si="11"/>
        <v>3</v>
      </c>
      <c r="W42" s="10">
        <f t="shared" si="12"/>
        <v>3</v>
      </c>
      <c r="X42" s="10">
        <f t="shared" si="13"/>
        <v>0.13511194690265485</v>
      </c>
      <c r="Y42" s="10">
        <f t="shared" si="14"/>
        <v>1</v>
      </c>
      <c r="Z42" s="10">
        <f t="shared" si="15"/>
        <v>1</v>
      </c>
      <c r="AA42" s="10">
        <f t="shared" si="16"/>
        <v>1</v>
      </c>
      <c r="AB42" s="12"/>
      <c r="AC42" s="10">
        <f t="shared" si="17"/>
        <v>1.2173538052413593</v>
      </c>
      <c r="AD42" s="10">
        <f t="shared" si="18"/>
        <v>1.2173538052413593</v>
      </c>
      <c r="AE42" s="10">
        <f t="shared" si="19"/>
        <v>1.2173538052413593</v>
      </c>
      <c r="AF42" s="10">
        <f t="shared" si="20"/>
        <v>1.2173538052413593</v>
      </c>
      <c r="AG42" s="10">
        <f t="shared" si="21"/>
        <v>0.13511194690265485</v>
      </c>
      <c r="AH42" s="10">
        <f t="shared" si="22"/>
        <v>0.13511194690265485</v>
      </c>
      <c r="AI42" s="10">
        <f t="shared" si="22"/>
        <v>0.13511194690265485</v>
      </c>
      <c r="AJ42" s="10">
        <f t="shared" si="22"/>
        <v>0.13511194690265485</v>
      </c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</row>
    <row r="43" spans="1:61" s="7" customFormat="1" x14ac:dyDescent="0.3">
      <c r="A43" s="7" t="s">
        <v>37</v>
      </c>
      <c r="B43" s="11">
        <v>0</v>
      </c>
      <c r="C43" s="11">
        <v>0</v>
      </c>
      <c r="D43" s="11">
        <v>0</v>
      </c>
      <c r="E43" s="10">
        <f t="shared" si="23"/>
        <v>0</v>
      </c>
      <c r="F43" s="10">
        <f t="shared" si="24"/>
        <v>0</v>
      </c>
      <c r="G43" s="10">
        <f t="shared" si="25"/>
        <v>0</v>
      </c>
      <c r="H43" s="10">
        <f t="shared" si="2"/>
        <v>0</v>
      </c>
      <c r="I43" s="10">
        <f t="shared" si="3"/>
        <v>0</v>
      </c>
      <c r="J43" s="10">
        <f t="shared" si="4"/>
        <v>0</v>
      </c>
      <c r="K43" s="10">
        <f t="shared" si="5"/>
        <v>0</v>
      </c>
      <c r="L43" s="10">
        <f t="shared" si="6"/>
        <v>0</v>
      </c>
      <c r="M43" s="10">
        <f t="shared" si="7"/>
        <v>0</v>
      </c>
      <c r="N43" s="5">
        <v>189069.63270000002</v>
      </c>
      <c r="O43" s="11">
        <f t="shared" si="8"/>
        <v>199621.03</v>
      </c>
      <c r="P43" s="12">
        <v>16.827999999999999</v>
      </c>
      <c r="Q43" s="11">
        <v>212000</v>
      </c>
      <c r="R43" s="7">
        <v>1.1619999999999999</v>
      </c>
      <c r="S43" s="12"/>
      <c r="T43" s="10">
        <f t="shared" si="9"/>
        <v>1.0620123541091837</v>
      </c>
      <c r="U43" s="10">
        <f t="shared" si="10"/>
        <v>3</v>
      </c>
      <c r="V43" s="10">
        <f t="shared" si="11"/>
        <v>3</v>
      </c>
      <c r="W43" s="10">
        <f t="shared" si="12"/>
        <v>3</v>
      </c>
      <c r="X43" s="10">
        <f t="shared" si="13"/>
        <v>6.9051580698835269E-2</v>
      </c>
      <c r="Y43" s="10">
        <f t="shared" si="14"/>
        <v>1</v>
      </c>
      <c r="Z43" s="10">
        <f t="shared" si="15"/>
        <v>1</v>
      </c>
      <c r="AA43" s="10">
        <f t="shared" si="16"/>
        <v>1</v>
      </c>
      <c r="AB43" s="12"/>
      <c r="AC43" s="10">
        <f t="shared" si="17"/>
        <v>1.0620123541091837</v>
      </c>
      <c r="AD43" s="10">
        <f t="shared" si="18"/>
        <v>1.0620123541091837</v>
      </c>
      <c r="AE43" s="10">
        <f t="shared" si="19"/>
        <v>1.0620123541091837</v>
      </c>
      <c r="AF43" s="10">
        <f t="shared" si="20"/>
        <v>1.0620123541091837</v>
      </c>
      <c r="AG43" s="10">
        <f t="shared" si="21"/>
        <v>6.9051580698835269E-2</v>
      </c>
      <c r="AH43" s="10">
        <f t="shared" si="22"/>
        <v>6.9051580698835269E-2</v>
      </c>
      <c r="AI43" s="10">
        <f t="shared" si="22"/>
        <v>6.9051580698835269E-2</v>
      </c>
      <c r="AJ43" s="10">
        <f t="shared" si="22"/>
        <v>6.9051580698835269E-2</v>
      </c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</row>
    <row r="44" spans="1:61" s="7" customFormat="1" x14ac:dyDescent="0.3">
      <c r="A44" s="7" t="s">
        <v>38</v>
      </c>
      <c r="B44" s="11">
        <v>691.87550665750666</v>
      </c>
      <c r="C44" s="11">
        <v>0</v>
      </c>
      <c r="D44" s="11">
        <v>0</v>
      </c>
      <c r="E44" s="10">
        <f t="shared" si="23"/>
        <v>6.0822908399733526</v>
      </c>
      <c r="F44" s="10">
        <f t="shared" si="24"/>
        <v>124.42120390062129</v>
      </c>
      <c r="G44" s="10">
        <f t="shared" si="25"/>
        <v>1112.5570322208082</v>
      </c>
      <c r="H44" s="10">
        <f t="shared" si="2"/>
        <v>2.7066409094054378E-3</v>
      </c>
      <c r="I44" s="10">
        <f t="shared" si="3"/>
        <v>1.0657805699791027E-2</v>
      </c>
      <c r="J44" s="10">
        <f t="shared" si="4"/>
        <v>1.3467786714653236</v>
      </c>
      <c r="K44" s="10">
        <f t="shared" si="5"/>
        <v>1.2453759119835119</v>
      </c>
      <c r="L44" s="10">
        <f t="shared" si="6"/>
        <v>0</v>
      </c>
      <c r="M44" s="10">
        <f t="shared" si="7"/>
        <v>0</v>
      </c>
      <c r="N44" s="5">
        <v>23827.490700000002</v>
      </c>
      <c r="O44" s="11">
        <f t="shared" si="8"/>
        <v>25157.23</v>
      </c>
      <c r="P44" s="12">
        <v>21.1</v>
      </c>
      <c r="Q44" s="11">
        <v>15050</v>
      </c>
      <c r="R44" s="7">
        <v>0.67300000000000004</v>
      </c>
      <c r="S44" s="12"/>
      <c r="T44" s="10">
        <f t="shared" si="9"/>
        <v>0.59823756431053821</v>
      </c>
      <c r="U44" s="10">
        <f t="shared" si="10"/>
        <v>1</v>
      </c>
      <c r="V44" s="10">
        <f t="shared" si="11"/>
        <v>1</v>
      </c>
      <c r="W44" s="10">
        <f t="shared" si="12"/>
        <v>1</v>
      </c>
      <c r="X44" s="10">
        <f t="shared" si="13"/>
        <v>3.1895734597156396E-2</v>
      </c>
      <c r="Y44" s="10">
        <f t="shared" si="14"/>
        <v>1</v>
      </c>
      <c r="Z44" s="10">
        <f t="shared" si="15"/>
        <v>1</v>
      </c>
      <c r="AA44" s="10">
        <f t="shared" si="16"/>
        <v>1</v>
      </c>
      <c r="AB44" s="12"/>
      <c r="AC44" s="10">
        <f t="shared" si="17"/>
        <v>0.59823756431053821</v>
      </c>
      <c r="AD44" s="10">
        <f t="shared" si="18"/>
        <v>0.59847933539741749</v>
      </c>
      <c r="AE44" s="10">
        <f t="shared" si="19"/>
        <v>0.60318330769725526</v>
      </c>
      <c r="AF44" s="10">
        <f t="shared" si="20"/>
        <v>0.64246171109541106</v>
      </c>
      <c r="AG44" s="10">
        <f t="shared" si="21"/>
        <v>3.1895734597156396E-2</v>
      </c>
      <c r="AH44" s="10">
        <f t="shared" si="22"/>
        <v>3.2024011417507367E-2</v>
      </c>
      <c r="AI44" s="10">
        <f t="shared" si="22"/>
        <v>3.2400843872028011E-2</v>
      </c>
      <c r="AJ44" s="10">
        <f t="shared" si="22"/>
        <v>9.572410765238501E-2</v>
      </c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</row>
    <row r="45" spans="1:61" s="7" customFormat="1" x14ac:dyDescent="0.3">
      <c r="A45" s="7" t="s">
        <v>39</v>
      </c>
      <c r="B45" s="11">
        <v>17.217195404824121</v>
      </c>
      <c r="C45" s="11">
        <v>0</v>
      </c>
      <c r="D45" s="11">
        <v>0</v>
      </c>
      <c r="E45" s="10">
        <f t="shared" si="23"/>
        <v>0.15135669480005412</v>
      </c>
      <c r="F45" s="10">
        <f t="shared" si="24"/>
        <v>3.0961988962573428</v>
      </c>
      <c r="G45" s="10">
        <f t="shared" si="25"/>
        <v>27.6857782049496</v>
      </c>
      <c r="H45" s="10">
        <f t="shared" si="2"/>
        <v>6.7354263851679701E-5</v>
      </c>
      <c r="I45" s="10">
        <f t="shared" si="3"/>
        <v>2.6521754499799865E-4</v>
      </c>
      <c r="J45" s="10">
        <f t="shared" si="4"/>
        <v>3.3514340846793909E-2</v>
      </c>
      <c r="K45" s="10">
        <f t="shared" si="5"/>
        <v>3.0990951728683415E-2</v>
      </c>
      <c r="L45" s="10">
        <f t="shared" si="6"/>
        <v>0</v>
      </c>
      <c r="M45" s="10">
        <f t="shared" si="7"/>
        <v>0</v>
      </c>
      <c r="N45" s="5">
        <v>43293.9</v>
      </c>
      <c r="O45" s="11">
        <f t="shared" si="8"/>
        <v>45710</v>
      </c>
      <c r="P45" s="12">
        <v>7.6239999999999997</v>
      </c>
      <c r="Q45" s="11">
        <v>64010</v>
      </c>
      <c r="R45" s="7">
        <v>6.9580000000000002</v>
      </c>
      <c r="S45" s="12"/>
      <c r="T45" s="10">
        <f t="shared" si="9"/>
        <v>1.4003500328155765</v>
      </c>
      <c r="U45" s="10">
        <f t="shared" si="10"/>
        <v>3</v>
      </c>
      <c r="V45" s="10">
        <f t="shared" si="11"/>
        <v>3</v>
      </c>
      <c r="W45" s="10">
        <f t="shared" si="12"/>
        <v>3</v>
      </c>
      <c r="X45" s="10">
        <f t="shared" si="13"/>
        <v>0.91264428121720886</v>
      </c>
      <c r="Y45" s="10">
        <f t="shared" si="14"/>
        <v>1</v>
      </c>
      <c r="Z45" s="10">
        <f t="shared" si="15"/>
        <v>1</v>
      </c>
      <c r="AA45" s="10">
        <f t="shared" si="16"/>
        <v>1</v>
      </c>
      <c r="AB45" s="12"/>
      <c r="AC45" s="10">
        <f t="shared" si="17"/>
        <v>1.4003500328155765</v>
      </c>
      <c r="AD45" s="10">
        <f t="shared" si="18"/>
        <v>1.4003533440537037</v>
      </c>
      <c r="AE45" s="10">
        <f t="shared" si="19"/>
        <v>1.4004177685166541</v>
      </c>
      <c r="AF45" s="10">
        <f t="shared" si="20"/>
        <v>1.400955715996608</v>
      </c>
      <c r="AG45" s="10">
        <f t="shared" si="21"/>
        <v>0.91264428121720886</v>
      </c>
      <c r="AH45" s="10">
        <f t="shared" si="22"/>
        <v>0.91265311572191132</v>
      </c>
      <c r="AI45" s="10">
        <f t="shared" si="22"/>
        <v>0.91267906840831559</v>
      </c>
      <c r="AJ45" s="10">
        <f t="shared" si="22"/>
        <v>0.91704018111841479</v>
      </c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</row>
    <row r="46" spans="1:61" s="7" customFormat="1" x14ac:dyDescent="0.3">
      <c r="A46" s="7" t="s">
        <v>40</v>
      </c>
      <c r="B46" s="11">
        <v>0</v>
      </c>
      <c r="C46" s="11">
        <v>0</v>
      </c>
      <c r="D46" s="11">
        <v>0</v>
      </c>
      <c r="E46" s="10">
        <f t="shared" si="23"/>
        <v>0</v>
      </c>
      <c r="F46" s="10">
        <f t="shared" si="24"/>
        <v>0</v>
      </c>
      <c r="G46" s="10">
        <f t="shared" si="25"/>
        <v>0</v>
      </c>
      <c r="H46" s="10">
        <f t="shared" si="2"/>
        <v>0</v>
      </c>
      <c r="I46" s="10">
        <f t="shared" si="3"/>
        <v>0</v>
      </c>
      <c r="J46" s="10">
        <f t="shared" si="4"/>
        <v>0</v>
      </c>
      <c r="K46" s="10">
        <f t="shared" si="5"/>
        <v>0</v>
      </c>
      <c r="L46" s="10">
        <f t="shared" si="6"/>
        <v>0</v>
      </c>
      <c r="M46" s="10">
        <f t="shared" si="7"/>
        <v>0</v>
      </c>
      <c r="N46" s="5">
        <v>4975.6161000000011</v>
      </c>
      <c r="O46" s="11">
        <f t="shared" si="8"/>
        <v>5253.2900000000009</v>
      </c>
      <c r="P46" s="12">
        <v>0.15600000000000003</v>
      </c>
      <c r="Q46" s="11">
        <v>1341.2889999999998</v>
      </c>
      <c r="R46" s="7">
        <v>0.20699999999999999</v>
      </c>
      <c r="S46" s="12"/>
      <c r="T46" s="10">
        <f t="shared" si="9"/>
        <v>0.25532361624810346</v>
      </c>
      <c r="U46" s="10">
        <f t="shared" si="10"/>
        <v>1</v>
      </c>
      <c r="V46" s="10">
        <f t="shared" si="11"/>
        <v>1</v>
      </c>
      <c r="W46" s="10">
        <f t="shared" si="12"/>
        <v>1</v>
      </c>
      <c r="X46" s="10">
        <f t="shared" si="13"/>
        <v>1.3269230769230766</v>
      </c>
      <c r="Y46" s="10">
        <f t="shared" si="14"/>
        <v>3</v>
      </c>
      <c r="Z46" s="10">
        <f t="shared" si="15"/>
        <v>3</v>
      </c>
      <c r="AA46" s="10">
        <f t="shared" si="16"/>
        <v>3</v>
      </c>
      <c r="AB46" s="12"/>
      <c r="AC46" s="10">
        <f t="shared" si="17"/>
        <v>0.25532361624810346</v>
      </c>
      <c r="AD46" s="10">
        <f t="shared" si="18"/>
        <v>0.25532361624810346</v>
      </c>
      <c r="AE46" s="10">
        <f t="shared" si="19"/>
        <v>0.25532361624810346</v>
      </c>
      <c r="AF46" s="10">
        <f t="shared" si="20"/>
        <v>0.25532361624810346</v>
      </c>
      <c r="AG46" s="10">
        <f t="shared" si="21"/>
        <v>1.3269230769230766</v>
      </c>
      <c r="AH46" s="10">
        <f t="shared" si="22"/>
        <v>1.3269230769230766</v>
      </c>
      <c r="AI46" s="10">
        <f t="shared" si="22"/>
        <v>1.3269230769230766</v>
      </c>
      <c r="AJ46" s="10">
        <f t="shared" si="22"/>
        <v>1.3269230769230766</v>
      </c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</row>
    <row r="47" spans="1:61" s="7" customFormat="1" x14ac:dyDescent="0.3">
      <c r="A47" s="7" t="s">
        <v>41</v>
      </c>
      <c r="B47" s="11">
        <v>360.46213358184968</v>
      </c>
      <c r="C47" s="11">
        <v>0</v>
      </c>
      <c r="D47" s="11">
        <v>0</v>
      </c>
      <c r="E47" s="10">
        <f t="shared" si="23"/>
        <v>3.1688295251756018</v>
      </c>
      <c r="F47" s="10">
        <f t="shared" si="24"/>
        <v>64.822547104621819</v>
      </c>
      <c r="G47" s="10">
        <f t="shared" si="25"/>
        <v>579.6341649717109</v>
      </c>
      <c r="H47" s="10">
        <f t="shared" si="2"/>
        <v>1.4101403325543155E-3</v>
      </c>
      <c r="I47" s="10">
        <f t="shared" si="3"/>
        <v>5.5526396654900154E-3</v>
      </c>
      <c r="J47" s="10">
        <f t="shared" si="4"/>
        <v>0.70166194453713204</v>
      </c>
      <c r="K47" s="10">
        <f t="shared" si="5"/>
        <v>0.64883184044732944</v>
      </c>
      <c r="L47" s="10">
        <f t="shared" si="6"/>
        <v>0</v>
      </c>
      <c r="M47" s="10">
        <f t="shared" si="7"/>
        <v>0</v>
      </c>
      <c r="N47" s="5">
        <v>32324.664450000004</v>
      </c>
      <c r="O47" s="11">
        <f t="shared" si="8"/>
        <v>34128.604999999996</v>
      </c>
      <c r="P47" s="12">
        <v>2.6300000000000003</v>
      </c>
      <c r="Q47" s="11">
        <v>35238.71</v>
      </c>
      <c r="R47" s="7">
        <v>1.591</v>
      </c>
      <c r="S47" s="12"/>
      <c r="T47" s="10">
        <f t="shared" si="9"/>
        <v>1.0325271132529443</v>
      </c>
      <c r="U47" s="10">
        <f t="shared" si="10"/>
        <v>3</v>
      </c>
      <c r="V47" s="10">
        <f t="shared" si="11"/>
        <v>3</v>
      </c>
      <c r="W47" s="10">
        <f t="shared" si="12"/>
        <v>3</v>
      </c>
      <c r="X47" s="10">
        <f t="shared" si="13"/>
        <v>0.6049429657794676</v>
      </c>
      <c r="Y47" s="10">
        <f t="shared" si="14"/>
        <v>1</v>
      </c>
      <c r="Z47" s="10">
        <f t="shared" si="15"/>
        <v>1</v>
      </c>
      <c r="AA47" s="10">
        <f t="shared" si="16"/>
        <v>1</v>
      </c>
      <c r="AB47" s="12"/>
      <c r="AC47" s="10">
        <f t="shared" si="17"/>
        <v>1.0325271132529443</v>
      </c>
      <c r="AD47" s="10">
        <f t="shared" si="18"/>
        <v>1.0326199629174757</v>
      </c>
      <c r="AE47" s="10">
        <f t="shared" si="19"/>
        <v>1.0344264744223981</v>
      </c>
      <c r="AF47" s="10">
        <f t="shared" si="20"/>
        <v>1.0495109356204779</v>
      </c>
      <c r="AG47" s="10">
        <f t="shared" si="21"/>
        <v>0.6049429657794676</v>
      </c>
      <c r="AH47" s="10">
        <f t="shared" si="22"/>
        <v>0.60547914081085707</v>
      </c>
      <c r="AI47" s="10">
        <f t="shared" si="22"/>
        <v>0.60705423561425464</v>
      </c>
      <c r="AJ47" s="10">
        <f t="shared" si="22"/>
        <v>0.87173457967191315</v>
      </c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</row>
    <row r="48" spans="1:61" s="7" customFormat="1" x14ac:dyDescent="0.3">
      <c r="A48" s="7" t="s">
        <v>42</v>
      </c>
      <c r="B48" s="11">
        <v>0</v>
      </c>
      <c r="C48" s="11">
        <v>0</v>
      </c>
      <c r="D48" s="11">
        <v>0</v>
      </c>
      <c r="E48" s="10">
        <f t="shared" si="23"/>
        <v>0</v>
      </c>
      <c r="F48" s="10">
        <f t="shared" si="24"/>
        <v>0</v>
      </c>
      <c r="G48" s="10">
        <f t="shared" si="25"/>
        <v>0</v>
      </c>
      <c r="H48" s="10">
        <f t="shared" si="2"/>
        <v>0</v>
      </c>
      <c r="I48" s="10">
        <f t="shared" si="3"/>
        <v>0</v>
      </c>
      <c r="J48" s="10">
        <f t="shared" si="4"/>
        <v>0</v>
      </c>
      <c r="K48" s="10">
        <f t="shared" si="5"/>
        <v>0</v>
      </c>
      <c r="L48" s="10">
        <f t="shared" si="6"/>
        <v>0</v>
      </c>
      <c r="M48" s="10">
        <f t="shared" si="7"/>
        <v>0</v>
      </c>
      <c r="N48" s="5">
        <v>615056.87880000006</v>
      </c>
      <c r="O48" s="11">
        <f t="shared" si="8"/>
        <v>649381.32000000007</v>
      </c>
      <c r="P48" s="12">
        <v>256.60000000000002</v>
      </c>
      <c r="Q48" s="11">
        <v>335720</v>
      </c>
      <c r="R48" s="7">
        <v>0.68359999999999999</v>
      </c>
      <c r="S48" s="12"/>
      <c r="T48" s="10">
        <f t="shared" si="9"/>
        <v>0.51698438138011105</v>
      </c>
      <c r="U48" s="10">
        <f t="shared" si="10"/>
        <v>1</v>
      </c>
      <c r="V48" s="10">
        <f t="shared" si="11"/>
        <v>1</v>
      </c>
      <c r="W48" s="10">
        <f t="shared" si="12"/>
        <v>1</v>
      </c>
      <c r="X48" s="10">
        <f t="shared" si="13"/>
        <v>2.6640685892439591E-3</v>
      </c>
      <c r="Y48" s="10">
        <f t="shared" si="14"/>
        <v>1</v>
      </c>
      <c r="Z48" s="10">
        <f t="shared" si="15"/>
        <v>1</v>
      </c>
      <c r="AA48" s="10">
        <f t="shared" si="16"/>
        <v>1</v>
      </c>
      <c r="AB48" s="12"/>
      <c r="AC48" s="10">
        <f t="shared" si="17"/>
        <v>0.51698438138011105</v>
      </c>
      <c r="AD48" s="10">
        <f t="shared" si="18"/>
        <v>0.51698438138011105</v>
      </c>
      <c r="AE48" s="10">
        <f t="shared" si="19"/>
        <v>0.51698438138011105</v>
      </c>
      <c r="AF48" s="10">
        <f t="shared" si="20"/>
        <v>0.51698438138011105</v>
      </c>
      <c r="AG48" s="10">
        <f t="shared" si="21"/>
        <v>2.6640685892439591E-3</v>
      </c>
      <c r="AH48" s="10">
        <f t="shared" si="22"/>
        <v>2.6640685892439591E-3</v>
      </c>
      <c r="AI48" s="10">
        <f t="shared" si="22"/>
        <v>2.6640685892439591E-3</v>
      </c>
      <c r="AJ48" s="10">
        <f t="shared" si="22"/>
        <v>2.6640685892439591E-3</v>
      </c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</row>
    <row r="49" spans="1:61" s="7" customFormat="1" x14ac:dyDescent="0.3">
      <c r="A49" s="7" t="s">
        <v>43</v>
      </c>
      <c r="B49" s="11">
        <v>0</v>
      </c>
      <c r="C49" s="11">
        <v>0</v>
      </c>
      <c r="D49" s="11">
        <v>0</v>
      </c>
      <c r="E49" s="10">
        <f t="shared" si="23"/>
        <v>0</v>
      </c>
      <c r="F49" s="10">
        <f t="shared" si="24"/>
        <v>0</v>
      </c>
      <c r="G49" s="10">
        <f t="shared" si="25"/>
        <v>0</v>
      </c>
      <c r="H49" s="10">
        <f t="shared" si="2"/>
        <v>0</v>
      </c>
      <c r="I49" s="10">
        <f t="shared" si="3"/>
        <v>0</v>
      </c>
      <c r="J49" s="10">
        <f t="shared" si="4"/>
        <v>0</v>
      </c>
      <c r="K49" s="10">
        <f t="shared" si="5"/>
        <v>0</v>
      </c>
      <c r="L49" s="10">
        <f t="shared" si="6"/>
        <v>0</v>
      </c>
      <c r="M49" s="10">
        <f t="shared" si="7"/>
        <v>0</v>
      </c>
      <c r="N49" s="5">
        <v>20417.482800000005</v>
      </c>
      <c r="O49" s="11">
        <f t="shared" si="8"/>
        <v>21556.920000000002</v>
      </c>
      <c r="P49" s="12">
        <v>1.2000000000000002</v>
      </c>
      <c r="Q49" s="11">
        <v>26199.870000000003</v>
      </c>
      <c r="R49" s="7">
        <v>1.0746599999999999</v>
      </c>
      <c r="S49" s="12"/>
      <c r="T49" s="10">
        <f t="shared" si="9"/>
        <v>1.2153809542365051</v>
      </c>
      <c r="U49" s="10">
        <f t="shared" si="10"/>
        <v>3</v>
      </c>
      <c r="V49" s="10">
        <f t="shared" si="11"/>
        <v>3</v>
      </c>
      <c r="W49" s="10">
        <f t="shared" si="12"/>
        <v>3</v>
      </c>
      <c r="X49" s="10">
        <f t="shared" si="13"/>
        <v>0.89554999999999985</v>
      </c>
      <c r="Y49" s="10">
        <f t="shared" si="14"/>
        <v>1</v>
      </c>
      <c r="Z49" s="10">
        <f t="shared" si="15"/>
        <v>1</v>
      </c>
      <c r="AA49" s="10">
        <f t="shared" si="16"/>
        <v>1</v>
      </c>
      <c r="AB49" s="12"/>
      <c r="AC49" s="10">
        <f t="shared" si="17"/>
        <v>1.2153809542365051</v>
      </c>
      <c r="AD49" s="10">
        <f t="shared" si="18"/>
        <v>1.2153809542365051</v>
      </c>
      <c r="AE49" s="10">
        <f t="shared" si="19"/>
        <v>1.2153809542365051</v>
      </c>
      <c r="AF49" s="10">
        <f t="shared" si="20"/>
        <v>1.2153809542365051</v>
      </c>
      <c r="AG49" s="10">
        <f t="shared" si="21"/>
        <v>0.89554999999999985</v>
      </c>
      <c r="AH49" s="10">
        <f t="shared" si="22"/>
        <v>0.89554999999999985</v>
      </c>
      <c r="AI49" s="10">
        <f t="shared" si="22"/>
        <v>0.89554999999999985</v>
      </c>
      <c r="AJ49" s="10">
        <f t="shared" si="22"/>
        <v>0.89554999999999985</v>
      </c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</row>
    <row r="50" spans="1:61" s="7" customFormat="1" x14ac:dyDescent="0.3">
      <c r="A50" s="7" t="s">
        <v>194</v>
      </c>
      <c r="B50" s="11">
        <v>0</v>
      </c>
      <c r="C50" s="11">
        <v>0</v>
      </c>
      <c r="D50" s="11">
        <v>0</v>
      </c>
      <c r="E50" s="10">
        <f t="shared" si="23"/>
        <v>0</v>
      </c>
      <c r="F50" s="10">
        <f t="shared" si="24"/>
        <v>0</v>
      </c>
      <c r="G50" s="10">
        <f t="shared" si="25"/>
        <v>0</v>
      </c>
      <c r="H50" s="10">
        <f t="shared" si="2"/>
        <v>0</v>
      </c>
      <c r="I50" s="10">
        <f t="shared" si="3"/>
        <v>0</v>
      </c>
      <c r="J50" s="10">
        <f t="shared" si="4"/>
        <v>0</v>
      </c>
      <c r="K50" s="10">
        <f t="shared" si="5"/>
        <v>0</v>
      </c>
      <c r="L50" s="10">
        <f t="shared" si="6"/>
        <v>0</v>
      </c>
      <c r="M50" s="10">
        <f t="shared" si="7"/>
        <v>0</v>
      </c>
      <c r="N50" s="5">
        <v>15316.626</v>
      </c>
      <c r="O50" s="11">
        <f t="shared" si="8"/>
        <v>16171.4</v>
      </c>
      <c r="P50" s="12">
        <v>0.06</v>
      </c>
      <c r="Q50" s="11">
        <v>17020</v>
      </c>
      <c r="R50" s="7">
        <v>1.9E-2</v>
      </c>
      <c r="S50" s="12"/>
      <c r="T50" s="10">
        <f t="shared" si="9"/>
        <v>1.0524753577303141</v>
      </c>
      <c r="U50" s="10">
        <f t="shared" si="10"/>
        <v>3</v>
      </c>
      <c r="V50" s="10">
        <f t="shared" si="11"/>
        <v>3</v>
      </c>
      <c r="W50" s="10">
        <f t="shared" si="12"/>
        <v>3</v>
      </c>
      <c r="X50" s="10">
        <f t="shared" si="13"/>
        <v>0.31666666666666665</v>
      </c>
      <c r="Y50" s="10">
        <f t="shared" si="14"/>
        <v>1</v>
      </c>
      <c r="Z50" s="10">
        <f t="shared" si="15"/>
        <v>1</v>
      </c>
      <c r="AA50" s="10">
        <f t="shared" si="16"/>
        <v>1</v>
      </c>
      <c r="AB50" s="12"/>
      <c r="AC50" s="10">
        <f t="shared" si="17"/>
        <v>1.0524753577303141</v>
      </c>
      <c r="AD50" s="10">
        <f t="shared" si="18"/>
        <v>1.0524753577303141</v>
      </c>
      <c r="AE50" s="10">
        <f t="shared" si="19"/>
        <v>1.0524753577303141</v>
      </c>
      <c r="AF50" s="10">
        <f t="shared" si="20"/>
        <v>1.0524753577303141</v>
      </c>
      <c r="AG50" s="10">
        <f t="shared" si="21"/>
        <v>0.31666666666666665</v>
      </c>
      <c r="AH50" s="10">
        <f t="shared" si="22"/>
        <v>0.31666666666666665</v>
      </c>
      <c r="AI50" s="10">
        <f t="shared" si="22"/>
        <v>0.31666666666666665</v>
      </c>
      <c r="AJ50" s="10">
        <f t="shared" si="22"/>
        <v>0.31666666666666665</v>
      </c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</row>
    <row r="51" spans="1:61" s="7" customFormat="1" x14ac:dyDescent="0.3">
      <c r="A51" s="7" t="s">
        <v>44</v>
      </c>
      <c r="B51" s="11">
        <v>0</v>
      </c>
      <c r="C51" s="11">
        <v>0</v>
      </c>
      <c r="D51" s="11">
        <v>0</v>
      </c>
      <c r="E51" s="10">
        <f t="shared" si="23"/>
        <v>0</v>
      </c>
      <c r="F51" s="10">
        <f t="shared" si="24"/>
        <v>0</v>
      </c>
      <c r="G51" s="10">
        <f t="shared" si="25"/>
        <v>0</v>
      </c>
      <c r="H51" s="10">
        <f t="shared" si="2"/>
        <v>0</v>
      </c>
      <c r="I51" s="10">
        <f t="shared" si="3"/>
        <v>0</v>
      </c>
      <c r="J51" s="10">
        <f t="shared" si="4"/>
        <v>0</v>
      </c>
      <c r="K51" s="10">
        <f t="shared" si="5"/>
        <v>0</v>
      </c>
      <c r="L51" s="10">
        <f t="shared" si="6"/>
        <v>0</v>
      </c>
      <c r="M51" s="10">
        <f t="shared" si="7"/>
        <v>0</v>
      </c>
      <c r="N51" s="5">
        <v>179.87190000000001</v>
      </c>
      <c r="O51" s="11">
        <f t="shared" si="8"/>
        <v>189.91</v>
      </c>
      <c r="P51" s="12">
        <v>4.0000000000000008E-2</v>
      </c>
      <c r="Q51" s="11">
        <v>250</v>
      </c>
      <c r="R51" s="7">
        <v>0.02</v>
      </c>
      <c r="S51" s="12"/>
      <c r="T51" s="10">
        <f t="shared" si="9"/>
        <v>1.3164130377547258</v>
      </c>
      <c r="U51" s="10">
        <f t="shared" si="10"/>
        <v>3</v>
      </c>
      <c r="V51" s="10">
        <f t="shared" si="11"/>
        <v>3</v>
      </c>
      <c r="W51" s="10">
        <f t="shared" si="12"/>
        <v>3</v>
      </c>
      <c r="X51" s="10">
        <f t="shared" si="13"/>
        <v>0.49999999999999989</v>
      </c>
      <c r="Y51" s="10">
        <f t="shared" si="14"/>
        <v>1</v>
      </c>
      <c r="Z51" s="10">
        <f t="shared" si="15"/>
        <v>1</v>
      </c>
      <c r="AA51" s="10">
        <f t="shared" si="16"/>
        <v>1</v>
      </c>
      <c r="AB51" s="12"/>
      <c r="AC51" s="10">
        <f t="shared" si="17"/>
        <v>1.3164130377547258</v>
      </c>
      <c r="AD51" s="10">
        <f t="shared" si="18"/>
        <v>1.3164130377547258</v>
      </c>
      <c r="AE51" s="10">
        <f t="shared" si="19"/>
        <v>1.3164130377547258</v>
      </c>
      <c r="AF51" s="10">
        <f t="shared" si="20"/>
        <v>1.3164130377547258</v>
      </c>
      <c r="AG51" s="10">
        <f t="shared" si="21"/>
        <v>0.49999999999999989</v>
      </c>
      <c r="AH51" s="10">
        <f t="shared" si="22"/>
        <v>0.49999999999999989</v>
      </c>
      <c r="AI51" s="10">
        <f t="shared" si="22"/>
        <v>0.49999999999999989</v>
      </c>
      <c r="AJ51" s="10">
        <f t="shared" si="22"/>
        <v>0.49999999999999989</v>
      </c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</row>
    <row r="52" spans="1:61" s="7" customFormat="1" x14ac:dyDescent="0.3">
      <c r="A52" s="7" t="s">
        <v>45</v>
      </c>
      <c r="B52" s="11">
        <v>0</v>
      </c>
      <c r="C52" s="11">
        <v>0</v>
      </c>
      <c r="D52" s="11">
        <v>0</v>
      </c>
      <c r="E52" s="10">
        <f t="shared" si="23"/>
        <v>0</v>
      </c>
      <c r="F52" s="10">
        <f t="shared" si="24"/>
        <v>0</v>
      </c>
      <c r="G52" s="10">
        <f t="shared" si="25"/>
        <v>0</v>
      </c>
      <c r="H52" s="10">
        <f t="shared" si="2"/>
        <v>0</v>
      </c>
      <c r="I52" s="10">
        <f t="shared" si="3"/>
        <v>0</v>
      </c>
      <c r="J52" s="10">
        <f t="shared" si="4"/>
        <v>0</v>
      </c>
      <c r="K52" s="10">
        <f t="shared" si="5"/>
        <v>0</v>
      </c>
      <c r="L52" s="10">
        <f t="shared" si="6"/>
        <v>0</v>
      </c>
      <c r="M52" s="10">
        <f t="shared" si="7"/>
        <v>0</v>
      </c>
      <c r="N52" s="5">
        <v>17575.467000000001</v>
      </c>
      <c r="O52" s="11">
        <f t="shared" si="8"/>
        <v>18556.3</v>
      </c>
      <c r="P52" s="12">
        <v>4.7</v>
      </c>
      <c r="Q52" s="11">
        <v>24290</v>
      </c>
      <c r="R52" s="7">
        <v>7.1369999999999996</v>
      </c>
      <c r="S52" s="12"/>
      <c r="T52" s="10">
        <f t="shared" si="9"/>
        <v>1.3089893998264741</v>
      </c>
      <c r="U52" s="10">
        <f t="shared" si="10"/>
        <v>3</v>
      </c>
      <c r="V52" s="10">
        <f t="shared" si="11"/>
        <v>3</v>
      </c>
      <c r="W52" s="10">
        <f t="shared" si="12"/>
        <v>3</v>
      </c>
      <c r="X52" s="10">
        <f t="shared" si="13"/>
        <v>1.5185106382978721</v>
      </c>
      <c r="Y52" s="10">
        <f t="shared" si="14"/>
        <v>3</v>
      </c>
      <c r="Z52" s="10">
        <f t="shared" si="15"/>
        <v>3</v>
      </c>
      <c r="AA52" s="10">
        <f t="shared" si="16"/>
        <v>3</v>
      </c>
      <c r="AB52" s="12"/>
      <c r="AC52" s="10">
        <f t="shared" si="17"/>
        <v>1.3089893998264741</v>
      </c>
      <c r="AD52" s="10">
        <f t="shared" si="18"/>
        <v>1.3089893998264741</v>
      </c>
      <c r="AE52" s="10">
        <f t="shared" si="19"/>
        <v>1.3089893998264741</v>
      </c>
      <c r="AF52" s="10">
        <f t="shared" si="20"/>
        <v>1.3089893998264741</v>
      </c>
      <c r="AG52" s="10">
        <f t="shared" si="21"/>
        <v>1.5185106382978721</v>
      </c>
      <c r="AH52" s="10">
        <f t="shared" si="22"/>
        <v>1.5185106382978721</v>
      </c>
      <c r="AI52" s="10">
        <f t="shared" si="22"/>
        <v>1.5185106382978721</v>
      </c>
      <c r="AJ52" s="10">
        <f t="shared" si="22"/>
        <v>1.5185106382978721</v>
      </c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</row>
    <row r="53" spans="1:61" s="7" customFormat="1" x14ac:dyDescent="0.3">
      <c r="A53" s="7" t="s">
        <v>46</v>
      </c>
      <c r="B53" s="11">
        <v>0</v>
      </c>
      <c r="C53" s="11">
        <v>0</v>
      </c>
      <c r="D53" s="11">
        <v>0</v>
      </c>
      <c r="E53" s="10">
        <f t="shared" si="23"/>
        <v>0</v>
      </c>
      <c r="F53" s="10">
        <f t="shared" si="24"/>
        <v>0</v>
      </c>
      <c r="G53" s="10">
        <f t="shared" si="25"/>
        <v>0</v>
      </c>
      <c r="H53" s="10">
        <f t="shared" si="2"/>
        <v>0</v>
      </c>
      <c r="I53" s="10">
        <f t="shared" si="3"/>
        <v>0</v>
      </c>
      <c r="J53" s="10">
        <f t="shared" si="4"/>
        <v>0</v>
      </c>
      <c r="K53" s="10">
        <f t="shared" si="5"/>
        <v>0</v>
      </c>
      <c r="L53" s="10">
        <f t="shared" si="6"/>
        <v>0</v>
      </c>
      <c r="M53" s="10">
        <f t="shared" si="7"/>
        <v>0</v>
      </c>
      <c r="N53" s="5">
        <v>76491.437099999996</v>
      </c>
      <c r="O53" s="11">
        <f t="shared" si="8"/>
        <v>80760.189999999988</v>
      </c>
      <c r="P53" s="12">
        <v>88.48</v>
      </c>
      <c r="Q53" s="11">
        <v>54200</v>
      </c>
      <c r="R53" s="7">
        <v>9.9158000000000008</v>
      </c>
      <c r="S53" s="12"/>
      <c r="T53" s="10">
        <f t="shared" si="9"/>
        <v>0.67112274005298911</v>
      </c>
      <c r="U53" s="10">
        <f t="shared" si="10"/>
        <v>1</v>
      </c>
      <c r="V53" s="10">
        <f t="shared" si="11"/>
        <v>1</v>
      </c>
      <c r="W53" s="10">
        <f t="shared" si="12"/>
        <v>1</v>
      </c>
      <c r="X53" s="10">
        <f t="shared" si="13"/>
        <v>0.11206826401446655</v>
      </c>
      <c r="Y53" s="10">
        <f t="shared" si="14"/>
        <v>1</v>
      </c>
      <c r="Z53" s="10">
        <f t="shared" si="15"/>
        <v>1</v>
      </c>
      <c r="AA53" s="10">
        <f t="shared" si="16"/>
        <v>1</v>
      </c>
      <c r="AB53" s="12"/>
      <c r="AC53" s="10">
        <f t="shared" si="17"/>
        <v>0.67112274005298911</v>
      </c>
      <c r="AD53" s="10">
        <f t="shared" si="18"/>
        <v>0.67112274005298911</v>
      </c>
      <c r="AE53" s="10">
        <f t="shared" si="19"/>
        <v>0.67112274005298911</v>
      </c>
      <c r="AF53" s="10">
        <f t="shared" si="20"/>
        <v>0.67112274005298911</v>
      </c>
      <c r="AG53" s="10">
        <f t="shared" si="21"/>
        <v>0.11206826401446655</v>
      </c>
      <c r="AH53" s="10">
        <f t="shared" si="22"/>
        <v>0.11206826401446655</v>
      </c>
      <c r="AI53" s="10">
        <f t="shared" si="22"/>
        <v>0.11206826401446655</v>
      </c>
      <c r="AJ53" s="10">
        <f t="shared" si="22"/>
        <v>0.11206826401446655</v>
      </c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</row>
    <row r="54" spans="1:61" s="7" customFormat="1" x14ac:dyDescent="0.3">
      <c r="A54" s="7" t="s">
        <v>47</v>
      </c>
      <c r="B54" s="11">
        <v>7692.7894361980116</v>
      </c>
      <c r="C54" s="11">
        <v>0</v>
      </c>
      <c r="D54" s="11">
        <v>12391.092530278827</v>
      </c>
      <c r="E54" s="10">
        <f t="shared" si="23"/>
        <v>634.01698819319995</v>
      </c>
      <c r="F54" s="10">
        <f t="shared" si="24"/>
        <v>11601.476819161708</v>
      </c>
      <c r="G54" s="10">
        <f t="shared" si="25"/>
        <v>51773.24645290582</v>
      </c>
      <c r="H54" s="10">
        <f t="shared" si="2"/>
        <v>0.14990406829399178</v>
      </c>
      <c r="I54" s="10">
        <f t="shared" si="3"/>
        <v>1.0448811253180808</v>
      </c>
      <c r="J54" s="10">
        <f t="shared" si="4"/>
        <v>59.020690765056727</v>
      </c>
      <c r="K54" s="10">
        <f t="shared" si="5"/>
        <v>56.720201139921159</v>
      </c>
      <c r="L54" s="10">
        <f t="shared" si="6"/>
        <v>0</v>
      </c>
      <c r="M54" s="10">
        <f t="shared" si="7"/>
        <v>0</v>
      </c>
      <c r="N54" s="5">
        <v>655707.13260000013</v>
      </c>
      <c r="O54" s="11">
        <f t="shared" si="8"/>
        <v>692300.14000000013</v>
      </c>
      <c r="P54" s="12">
        <v>11.5</v>
      </c>
      <c r="Q54" s="11">
        <v>39710</v>
      </c>
      <c r="R54" s="7">
        <v>77.5</v>
      </c>
      <c r="S54" s="12"/>
      <c r="T54" s="10">
        <f t="shared" si="9"/>
        <v>5.7359514617460562E-2</v>
      </c>
      <c r="U54" s="10">
        <f t="shared" si="10"/>
        <v>1</v>
      </c>
      <c r="V54" s="10">
        <f t="shared" si="11"/>
        <v>1</v>
      </c>
      <c r="W54" s="10">
        <f t="shared" si="12"/>
        <v>1</v>
      </c>
      <c r="X54" s="10">
        <f t="shared" si="13"/>
        <v>6.7391304347826084</v>
      </c>
      <c r="Y54" s="10">
        <f t="shared" si="14"/>
        <v>3</v>
      </c>
      <c r="Z54" s="10">
        <f t="shared" si="15"/>
        <v>3</v>
      </c>
      <c r="AA54" s="10">
        <f t="shared" si="16"/>
        <v>4</v>
      </c>
      <c r="AB54" s="12"/>
      <c r="AC54" s="10">
        <f t="shared" si="17"/>
        <v>5.7359514617460562E-2</v>
      </c>
      <c r="AD54" s="10">
        <f t="shared" si="18"/>
        <v>5.827532692423433E-2</v>
      </c>
      <c r="AE54" s="10">
        <f t="shared" si="19"/>
        <v>7.4117386166008423E-2</v>
      </c>
      <c r="AF54" s="10">
        <f t="shared" si="20"/>
        <v>0.13214390864185843</v>
      </c>
      <c r="AG54" s="10">
        <f t="shared" si="21"/>
        <v>6.7391304347826084</v>
      </c>
      <c r="AH54" s="10">
        <f t="shared" si="22"/>
        <v>6.7521655711559996</v>
      </c>
      <c r="AI54" s="10">
        <f t="shared" si="22"/>
        <v>6.8299896630711379</v>
      </c>
      <c r="AJ54" s="10">
        <f t="shared" si="22"/>
        <v>11.871364414352758</v>
      </c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</row>
    <row r="55" spans="1:61" s="7" customFormat="1" x14ac:dyDescent="0.3">
      <c r="A55" s="7" t="s">
        <v>48</v>
      </c>
      <c r="B55" s="11">
        <v>0</v>
      </c>
      <c r="C55" s="11">
        <v>0</v>
      </c>
      <c r="D55" s="11">
        <v>0</v>
      </c>
      <c r="E55" s="10">
        <f t="shared" si="23"/>
        <v>0</v>
      </c>
      <c r="F55" s="10">
        <f t="shared" si="24"/>
        <v>0</v>
      </c>
      <c r="G55" s="10">
        <f t="shared" si="25"/>
        <v>0</v>
      </c>
      <c r="H55" s="10">
        <f t="shared" si="2"/>
        <v>0</v>
      </c>
      <c r="I55" s="10">
        <f t="shared" si="3"/>
        <v>0</v>
      </c>
      <c r="J55" s="10">
        <f t="shared" si="4"/>
        <v>0</v>
      </c>
      <c r="K55" s="10">
        <f t="shared" si="5"/>
        <v>0</v>
      </c>
      <c r="L55" s="10">
        <f t="shared" si="6"/>
        <v>0</v>
      </c>
      <c r="M55" s="10">
        <f t="shared" si="7"/>
        <v>0</v>
      </c>
      <c r="N55" s="5">
        <v>9654.0756000000001</v>
      </c>
      <c r="O55" s="11">
        <f t="shared" si="8"/>
        <v>10192.839999999998</v>
      </c>
      <c r="P55" s="12">
        <v>5.2540000000000004</v>
      </c>
      <c r="Q55" s="11">
        <v>11957</v>
      </c>
      <c r="R55" s="7">
        <v>2.1179999999999999</v>
      </c>
      <c r="S55" s="12"/>
      <c r="T55" s="10">
        <f t="shared" si="9"/>
        <v>1.1730783569643006</v>
      </c>
      <c r="U55" s="10">
        <f t="shared" si="10"/>
        <v>3</v>
      </c>
      <c r="V55" s="10">
        <f t="shared" si="11"/>
        <v>3</v>
      </c>
      <c r="W55" s="10">
        <f t="shared" si="12"/>
        <v>3</v>
      </c>
      <c r="X55" s="10">
        <f t="shared" si="13"/>
        <v>0.40312143129044531</v>
      </c>
      <c r="Y55" s="10">
        <f t="shared" si="14"/>
        <v>1</v>
      </c>
      <c r="Z55" s="10">
        <f t="shared" si="15"/>
        <v>1</v>
      </c>
      <c r="AA55" s="10">
        <f t="shared" si="16"/>
        <v>1</v>
      </c>
      <c r="AB55" s="12"/>
      <c r="AC55" s="10">
        <f t="shared" si="17"/>
        <v>1.1730783569643006</v>
      </c>
      <c r="AD55" s="10">
        <f t="shared" si="18"/>
        <v>1.1730783569643006</v>
      </c>
      <c r="AE55" s="10">
        <f t="shared" si="19"/>
        <v>1.1730783569643006</v>
      </c>
      <c r="AF55" s="10">
        <f t="shared" si="20"/>
        <v>1.1730783569643006</v>
      </c>
      <c r="AG55" s="10">
        <f t="shared" si="21"/>
        <v>0.40312143129044531</v>
      </c>
      <c r="AH55" s="10">
        <f t="shared" si="22"/>
        <v>0.40312143129044531</v>
      </c>
      <c r="AI55" s="10">
        <f t="shared" si="22"/>
        <v>0.40312143129044531</v>
      </c>
      <c r="AJ55" s="10">
        <f t="shared" si="22"/>
        <v>0.40312143129044531</v>
      </c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</row>
    <row r="56" spans="1:61" s="7" customFormat="1" x14ac:dyDescent="0.3">
      <c r="A56" s="7" t="s">
        <v>195</v>
      </c>
      <c r="B56" s="11">
        <v>0</v>
      </c>
      <c r="C56" s="11">
        <v>0</v>
      </c>
      <c r="D56" s="11">
        <v>0</v>
      </c>
      <c r="E56" s="10">
        <f t="shared" si="23"/>
        <v>0</v>
      </c>
      <c r="F56" s="10">
        <f t="shared" si="24"/>
        <v>0</v>
      </c>
      <c r="G56" s="10">
        <f t="shared" si="25"/>
        <v>0</v>
      </c>
      <c r="H56" s="10">
        <f t="shared" si="2"/>
        <v>0</v>
      </c>
      <c r="I56" s="10">
        <f t="shared" si="3"/>
        <v>0</v>
      </c>
      <c r="J56" s="10">
        <f t="shared" si="4"/>
        <v>0</v>
      </c>
      <c r="K56" s="10">
        <f t="shared" si="5"/>
        <v>0</v>
      </c>
      <c r="L56" s="10">
        <f t="shared" si="6"/>
        <v>0</v>
      </c>
      <c r="M56" s="10">
        <f t="shared" si="7"/>
        <v>0</v>
      </c>
      <c r="N56" s="5">
        <v>2017.8745999999999</v>
      </c>
      <c r="O56" s="11">
        <f t="shared" si="8"/>
        <v>2130.486003016591</v>
      </c>
      <c r="P56" s="12">
        <v>5.2</v>
      </c>
      <c r="Q56" s="11">
        <v>1885.2</v>
      </c>
      <c r="R56" s="7">
        <v>1.9800000000000002E-2</v>
      </c>
      <c r="S56" s="12"/>
      <c r="T56" s="10">
        <f t="shared" si="9"/>
        <v>0.88486852170383357</v>
      </c>
      <c r="U56" s="10">
        <f t="shared" si="10"/>
        <v>1</v>
      </c>
      <c r="V56" s="10">
        <f t="shared" si="11"/>
        <v>1</v>
      </c>
      <c r="W56" s="10">
        <f t="shared" si="12"/>
        <v>1</v>
      </c>
      <c r="X56" s="10">
        <f t="shared" si="13"/>
        <v>3.8076923076923079E-3</v>
      </c>
      <c r="Y56" s="10">
        <f t="shared" si="14"/>
        <v>1</v>
      </c>
      <c r="Z56" s="10">
        <f t="shared" si="15"/>
        <v>1</v>
      </c>
      <c r="AA56" s="10">
        <f t="shared" si="16"/>
        <v>1</v>
      </c>
      <c r="AB56" s="12"/>
      <c r="AC56" s="10">
        <f t="shared" si="17"/>
        <v>0.88486852170383357</v>
      </c>
      <c r="AD56" s="10">
        <f t="shared" si="18"/>
        <v>0.88486852170383357</v>
      </c>
      <c r="AE56" s="10">
        <f t="shared" si="19"/>
        <v>0.88486852170383357</v>
      </c>
      <c r="AF56" s="10">
        <f t="shared" si="20"/>
        <v>0.88486852170383357</v>
      </c>
      <c r="AG56" s="10">
        <f t="shared" si="21"/>
        <v>3.8076923076923079E-3</v>
      </c>
      <c r="AH56" s="10">
        <f t="shared" si="22"/>
        <v>3.8076923076923079E-3</v>
      </c>
      <c r="AI56" s="10">
        <f t="shared" si="22"/>
        <v>3.8076923076923079E-3</v>
      </c>
      <c r="AJ56" s="10">
        <f t="shared" si="22"/>
        <v>3.8076923076923079E-3</v>
      </c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</row>
    <row r="57" spans="1:61" s="7" customFormat="1" x14ac:dyDescent="0.3">
      <c r="A57" s="7" t="s">
        <v>49</v>
      </c>
      <c r="B57" s="11">
        <v>0</v>
      </c>
      <c r="C57" s="11">
        <v>0</v>
      </c>
      <c r="D57" s="11">
        <v>0</v>
      </c>
      <c r="E57" s="10">
        <f t="shared" si="23"/>
        <v>0</v>
      </c>
      <c r="F57" s="10">
        <f t="shared" si="24"/>
        <v>0</v>
      </c>
      <c r="G57" s="10">
        <f t="shared" si="25"/>
        <v>0</v>
      </c>
      <c r="H57" s="10">
        <f t="shared" si="2"/>
        <v>0</v>
      </c>
      <c r="I57" s="10">
        <f t="shared" si="3"/>
        <v>0</v>
      </c>
      <c r="J57" s="10">
        <f t="shared" si="4"/>
        <v>0</v>
      </c>
      <c r="K57" s="10">
        <f t="shared" si="5"/>
        <v>0</v>
      </c>
      <c r="L57" s="10">
        <f t="shared" si="6"/>
        <v>0</v>
      </c>
      <c r="M57" s="10">
        <f t="shared" si="7"/>
        <v>0</v>
      </c>
      <c r="N57" s="5">
        <v>72862.858652999988</v>
      </c>
      <c r="O57" s="11">
        <f t="shared" si="8"/>
        <v>76929.111699999979</v>
      </c>
      <c r="P57" s="12">
        <v>1.4630000000000001</v>
      </c>
      <c r="Q57" s="11">
        <v>75920</v>
      </c>
      <c r="R57" s="7">
        <v>0.58199999999999996</v>
      </c>
      <c r="S57" s="12"/>
      <c r="T57" s="10">
        <f t="shared" si="9"/>
        <v>0.98688257698938209</v>
      </c>
      <c r="U57" s="10">
        <f t="shared" si="10"/>
        <v>1</v>
      </c>
      <c r="V57" s="10">
        <f t="shared" si="11"/>
        <v>1</v>
      </c>
      <c r="W57" s="10">
        <f t="shared" si="12"/>
        <v>1</v>
      </c>
      <c r="X57" s="10">
        <f t="shared" si="13"/>
        <v>0.39781271360218723</v>
      </c>
      <c r="Y57" s="10">
        <f t="shared" si="14"/>
        <v>1</v>
      </c>
      <c r="Z57" s="10">
        <f t="shared" si="15"/>
        <v>1</v>
      </c>
      <c r="AA57" s="10">
        <f t="shared" si="16"/>
        <v>1</v>
      </c>
      <c r="AB57" s="12"/>
      <c r="AC57" s="10">
        <f t="shared" si="17"/>
        <v>0.98688257698938209</v>
      </c>
      <c r="AD57" s="10">
        <f t="shared" si="18"/>
        <v>0.98688257698938209</v>
      </c>
      <c r="AE57" s="10">
        <f t="shared" si="19"/>
        <v>0.98688257698938209</v>
      </c>
      <c r="AF57" s="10">
        <f t="shared" si="20"/>
        <v>0.98688257698938209</v>
      </c>
      <c r="AG57" s="10">
        <f t="shared" si="21"/>
        <v>0.39781271360218723</v>
      </c>
      <c r="AH57" s="10">
        <f t="shared" si="22"/>
        <v>0.39781271360218723</v>
      </c>
      <c r="AI57" s="10">
        <f t="shared" si="22"/>
        <v>0.39781271360218723</v>
      </c>
      <c r="AJ57" s="10">
        <f t="shared" si="22"/>
        <v>0.39781271360218723</v>
      </c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</row>
    <row r="58" spans="1:61" s="7" customFormat="1" x14ac:dyDescent="0.3">
      <c r="A58" s="7" t="s">
        <v>50</v>
      </c>
      <c r="B58" s="11">
        <v>205.76380125297251</v>
      </c>
      <c r="C58" s="11">
        <v>0</v>
      </c>
      <c r="D58" s="11">
        <v>0</v>
      </c>
      <c r="E58" s="10">
        <f t="shared" si="23"/>
        <v>1.8088735206210722</v>
      </c>
      <c r="F58" s="10">
        <f t="shared" si="24"/>
        <v>37.002870638888282</v>
      </c>
      <c r="G58" s="10">
        <f t="shared" si="25"/>
        <v>330.87450250468487</v>
      </c>
      <c r="H58" s="10">
        <f t="shared" si="2"/>
        <v>8.0495510649975497E-4</v>
      </c>
      <c r="I58" s="10">
        <f t="shared" si="3"/>
        <v>3.1696318090505497E-3</v>
      </c>
      <c r="J58" s="10">
        <f t="shared" si="4"/>
        <v>0.40053202667327953</v>
      </c>
      <c r="K58" s="10">
        <f t="shared" si="5"/>
        <v>0.3703748422553505</v>
      </c>
      <c r="L58" s="10">
        <f t="shared" si="6"/>
        <v>0</v>
      </c>
      <c r="M58" s="10">
        <f t="shared" si="7"/>
        <v>0</v>
      </c>
      <c r="N58" s="5">
        <v>10459.488000000001</v>
      </c>
      <c r="O58" s="11">
        <f t="shared" si="8"/>
        <v>11043.2</v>
      </c>
      <c r="P58" s="12">
        <v>2.5611999999999999</v>
      </c>
      <c r="Q58" s="11">
        <v>9850</v>
      </c>
      <c r="R58" s="7">
        <v>1.6085400000000001</v>
      </c>
      <c r="S58" s="12"/>
      <c r="T58" s="10">
        <f t="shared" si="9"/>
        <v>0.89195160822949859</v>
      </c>
      <c r="U58" s="10">
        <f t="shared" si="10"/>
        <v>1</v>
      </c>
      <c r="V58" s="10">
        <f t="shared" si="11"/>
        <v>1</v>
      </c>
      <c r="W58" s="10">
        <f t="shared" si="12"/>
        <v>1</v>
      </c>
      <c r="X58" s="10">
        <f t="shared" si="13"/>
        <v>0.62804154302670623</v>
      </c>
      <c r="Y58" s="10">
        <f t="shared" si="14"/>
        <v>1</v>
      </c>
      <c r="Z58" s="10">
        <f t="shared" si="15"/>
        <v>1</v>
      </c>
      <c r="AA58" s="10">
        <f t="shared" si="16"/>
        <v>1</v>
      </c>
      <c r="AB58" s="12"/>
      <c r="AC58" s="10">
        <f t="shared" si="17"/>
        <v>0.89195160822949859</v>
      </c>
      <c r="AD58" s="10">
        <f t="shared" si="18"/>
        <v>0.8921154079904936</v>
      </c>
      <c r="AE58" s="10">
        <f t="shared" si="19"/>
        <v>0.89530234629807359</v>
      </c>
      <c r="AF58" s="10">
        <f t="shared" si="20"/>
        <v>0.92191344017175125</v>
      </c>
      <c r="AG58" s="10">
        <f t="shared" si="21"/>
        <v>0.62804154302670623</v>
      </c>
      <c r="AH58" s="10">
        <f t="shared" si="22"/>
        <v>0.62835583129255812</v>
      </c>
      <c r="AI58" s="10">
        <f t="shared" si="22"/>
        <v>0.62927910034712276</v>
      </c>
      <c r="AJ58" s="10">
        <f t="shared" si="22"/>
        <v>0.78442606070329524</v>
      </c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</row>
    <row r="59" spans="1:61" s="7" customFormat="1" x14ac:dyDescent="0.3">
      <c r="A59" s="7" t="s">
        <v>196</v>
      </c>
      <c r="B59" s="11">
        <v>0</v>
      </c>
      <c r="C59" s="11">
        <v>0</v>
      </c>
      <c r="D59" s="11">
        <v>0</v>
      </c>
      <c r="E59" s="10">
        <f t="shared" si="23"/>
        <v>0</v>
      </c>
      <c r="F59" s="10">
        <f t="shared" si="24"/>
        <v>0</v>
      </c>
      <c r="G59" s="10">
        <f t="shared" si="25"/>
        <v>0</v>
      </c>
      <c r="H59" s="10">
        <f t="shared" si="2"/>
        <v>0</v>
      </c>
      <c r="I59" s="10">
        <f t="shared" si="3"/>
        <v>0</v>
      </c>
      <c r="J59" s="10">
        <f t="shared" si="4"/>
        <v>0</v>
      </c>
      <c r="K59" s="10">
        <f t="shared" si="5"/>
        <v>0</v>
      </c>
      <c r="L59" s="10">
        <f t="shared" si="6"/>
        <v>0</v>
      </c>
      <c r="M59" s="10">
        <f t="shared" si="7"/>
        <v>0</v>
      </c>
      <c r="N59" s="5">
        <v>7998.6972000000014</v>
      </c>
      <c r="O59" s="11">
        <f t="shared" si="8"/>
        <v>8445.08</v>
      </c>
      <c r="P59" s="12">
        <v>0.90200000000000002</v>
      </c>
      <c r="Q59" s="11">
        <v>12220</v>
      </c>
      <c r="R59" s="7">
        <v>1.0680000000000001</v>
      </c>
      <c r="S59" s="12"/>
      <c r="T59" s="10">
        <f t="shared" si="9"/>
        <v>1.4469963576425564</v>
      </c>
      <c r="U59" s="10">
        <f t="shared" si="10"/>
        <v>3</v>
      </c>
      <c r="V59" s="10">
        <f t="shared" si="11"/>
        <v>3</v>
      </c>
      <c r="W59" s="10">
        <f t="shared" si="12"/>
        <v>3</v>
      </c>
      <c r="X59" s="10">
        <f t="shared" si="13"/>
        <v>1.1840354767184036</v>
      </c>
      <c r="Y59" s="10">
        <f t="shared" si="14"/>
        <v>3</v>
      </c>
      <c r="Z59" s="10">
        <f t="shared" si="15"/>
        <v>3</v>
      </c>
      <c r="AA59" s="10">
        <f t="shared" si="16"/>
        <v>3</v>
      </c>
      <c r="AB59" s="12"/>
      <c r="AC59" s="10">
        <f t="shared" si="17"/>
        <v>1.4469963576425564</v>
      </c>
      <c r="AD59" s="10">
        <f t="shared" si="18"/>
        <v>1.4469963576425564</v>
      </c>
      <c r="AE59" s="10">
        <f t="shared" si="19"/>
        <v>1.4469963576425564</v>
      </c>
      <c r="AF59" s="10">
        <f t="shared" si="20"/>
        <v>1.4469963576425564</v>
      </c>
      <c r="AG59" s="10">
        <f t="shared" si="21"/>
        <v>1.1840354767184036</v>
      </c>
      <c r="AH59" s="10">
        <f t="shared" si="22"/>
        <v>1.1840354767184036</v>
      </c>
      <c r="AI59" s="10">
        <f t="shared" si="22"/>
        <v>1.1840354767184036</v>
      </c>
      <c r="AJ59" s="10">
        <f t="shared" si="22"/>
        <v>1.1840354767184036</v>
      </c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</row>
    <row r="60" spans="1:61" s="7" customFormat="1" x14ac:dyDescent="0.3">
      <c r="A60" s="7" t="s">
        <v>51</v>
      </c>
      <c r="B60" s="11">
        <v>0</v>
      </c>
      <c r="C60" s="11">
        <v>0</v>
      </c>
      <c r="D60" s="11">
        <v>0</v>
      </c>
      <c r="E60" s="10">
        <f t="shared" si="23"/>
        <v>0</v>
      </c>
      <c r="F60" s="10">
        <f t="shared" si="24"/>
        <v>0</v>
      </c>
      <c r="G60" s="10">
        <f t="shared" si="25"/>
        <v>0</v>
      </c>
      <c r="H60" s="10">
        <f t="shared" si="2"/>
        <v>0</v>
      </c>
      <c r="I60" s="10">
        <f t="shared" si="3"/>
        <v>0</v>
      </c>
      <c r="J60" s="10">
        <f t="shared" si="4"/>
        <v>0</v>
      </c>
      <c r="K60" s="10">
        <f t="shared" si="5"/>
        <v>0</v>
      </c>
      <c r="L60" s="10">
        <f t="shared" si="6"/>
        <v>0</v>
      </c>
      <c r="M60" s="10">
        <f t="shared" si="7"/>
        <v>0</v>
      </c>
      <c r="N60" s="5">
        <v>629994.52471799997</v>
      </c>
      <c r="O60" s="11">
        <f t="shared" si="8"/>
        <v>665152.59019999986</v>
      </c>
      <c r="P60" s="12">
        <v>24.400000000000002</v>
      </c>
      <c r="Q60" s="11">
        <v>384761</v>
      </c>
      <c r="R60" s="7">
        <v>10.5481</v>
      </c>
      <c r="S60" s="12"/>
      <c r="T60" s="10">
        <f t="shared" si="9"/>
        <v>0.57845523819475619</v>
      </c>
      <c r="U60" s="10">
        <f t="shared" si="10"/>
        <v>1</v>
      </c>
      <c r="V60" s="10">
        <f t="shared" si="11"/>
        <v>1</v>
      </c>
      <c r="W60" s="10">
        <f t="shared" si="12"/>
        <v>1</v>
      </c>
      <c r="X60" s="10">
        <f t="shared" si="13"/>
        <v>0.43229918032786879</v>
      </c>
      <c r="Y60" s="10">
        <f t="shared" si="14"/>
        <v>1</v>
      </c>
      <c r="Z60" s="10">
        <f t="shared" si="15"/>
        <v>1</v>
      </c>
      <c r="AA60" s="10">
        <f t="shared" si="16"/>
        <v>1</v>
      </c>
      <c r="AB60" s="12"/>
      <c r="AC60" s="10">
        <f t="shared" si="17"/>
        <v>0.57845523819475619</v>
      </c>
      <c r="AD60" s="10">
        <f t="shared" si="18"/>
        <v>0.57845523819475619</v>
      </c>
      <c r="AE60" s="10">
        <f t="shared" si="19"/>
        <v>0.57845523819475619</v>
      </c>
      <c r="AF60" s="10">
        <f t="shared" si="20"/>
        <v>0.57845523819475619</v>
      </c>
      <c r="AG60" s="10">
        <f t="shared" si="21"/>
        <v>0.43229918032786879</v>
      </c>
      <c r="AH60" s="10">
        <f t="shared" si="22"/>
        <v>0.43229918032786879</v>
      </c>
      <c r="AI60" s="10">
        <f t="shared" si="22"/>
        <v>0.43229918032786879</v>
      </c>
      <c r="AJ60" s="10">
        <f t="shared" si="22"/>
        <v>0.43229918032786879</v>
      </c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</row>
    <row r="61" spans="1:61" s="7" customFormat="1" x14ac:dyDescent="0.3">
      <c r="A61" s="7" t="s">
        <v>52</v>
      </c>
      <c r="B61" s="11">
        <v>0</v>
      </c>
      <c r="C61" s="11">
        <v>0</v>
      </c>
      <c r="D61" s="11">
        <v>0</v>
      </c>
      <c r="E61" s="10">
        <f t="shared" si="23"/>
        <v>0</v>
      </c>
      <c r="F61" s="10">
        <f t="shared" si="24"/>
        <v>0</v>
      </c>
      <c r="G61" s="10">
        <f t="shared" si="25"/>
        <v>0</v>
      </c>
      <c r="H61" s="10">
        <f t="shared" si="2"/>
        <v>0</v>
      </c>
      <c r="I61" s="10">
        <f t="shared" si="3"/>
        <v>0</v>
      </c>
      <c r="J61" s="10">
        <f t="shared" si="4"/>
        <v>0</v>
      </c>
      <c r="K61" s="10">
        <f t="shared" si="5"/>
        <v>0</v>
      </c>
      <c r="L61" s="10">
        <f t="shared" si="6"/>
        <v>0</v>
      </c>
      <c r="M61" s="10">
        <f t="shared" si="7"/>
        <v>0</v>
      </c>
      <c r="N61" s="5">
        <v>4554.6774000000014</v>
      </c>
      <c r="O61" s="11">
        <f t="shared" si="8"/>
        <v>4808.8600000000015</v>
      </c>
      <c r="P61" s="12">
        <v>5.7100000000000009</v>
      </c>
      <c r="Q61" s="11">
        <v>3116</v>
      </c>
      <c r="R61" s="7">
        <v>8.4900000000000003E-2</v>
      </c>
      <c r="S61" s="12"/>
      <c r="T61" s="10">
        <f t="shared" si="9"/>
        <v>0.64797062089559665</v>
      </c>
      <c r="U61" s="10">
        <f t="shared" si="10"/>
        <v>1</v>
      </c>
      <c r="V61" s="10">
        <f t="shared" si="11"/>
        <v>1</v>
      </c>
      <c r="W61" s="10">
        <f t="shared" si="12"/>
        <v>1</v>
      </c>
      <c r="X61" s="10">
        <f t="shared" si="13"/>
        <v>1.486865148861646E-2</v>
      </c>
      <c r="Y61" s="10">
        <f t="shared" si="14"/>
        <v>1</v>
      </c>
      <c r="Z61" s="10">
        <f t="shared" si="15"/>
        <v>1</v>
      </c>
      <c r="AA61" s="10">
        <f t="shared" si="16"/>
        <v>1</v>
      </c>
      <c r="AB61" s="12"/>
      <c r="AC61" s="10">
        <f t="shared" si="17"/>
        <v>0.64797062089559665</v>
      </c>
      <c r="AD61" s="10">
        <f t="shared" si="18"/>
        <v>0.64797062089559665</v>
      </c>
      <c r="AE61" s="10">
        <f t="shared" si="19"/>
        <v>0.64797062089559665</v>
      </c>
      <c r="AF61" s="10">
        <f t="shared" si="20"/>
        <v>0.64797062089559665</v>
      </c>
      <c r="AG61" s="10">
        <f t="shared" si="21"/>
        <v>1.486865148861646E-2</v>
      </c>
      <c r="AH61" s="10">
        <f t="shared" si="22"/>
        <v>1.486865148861646E-2</v>
      </c>
      <c r="AI61" s="10">
        <f t="shared" si="22"/>
        <v>1.486865148861646E-2</v>
      </c>
      <c r="AJ61" s="10">
        <f t="shared" si="22"/>
        <v>1.486865148861646E-2</v>
      </c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</row>
    <row r="62" spans="1:61" s="7" customFormat="1" x14ac:dyDescent="0.3">
      <c r="A62" s="7" t="s">
        <v>53</v>
      </c>
      <c r="B62" s="11">
        <v>358.64284382868487</v>
      </c>
      <c r="C62" s="11">
        <v>0</v>
      </c>
      <c r="D62" s="11">
        <v>0</v>
      </c>
      <c r="E62" s="10">
        <f t="shared" si="23"/>
        <v>3.1528361140858094</v>
      </c>
      <c r="F62" s="10">
        <f t="shared" si="24"/>
        <v>64.495380989974436</v>
      </c>
      <c r="G62" s="10">
        <f t="shared" si="25"/>
        <v>576.7086912570694</v>
      </c>
      <c r="H62" s="10">
        <f t="shared" si="2"/>
        <v>1.4030232081228308E-3</v>
      </c>
      <c r="I62" s="10">
        <f t="shared" si="3"/>
        <v>5.5246149175197865E-3</v>
      </c>
      <c r="J62" s="10">
        <f t="shared" si="4"/>
        <v>0.69812058396980292</v>
      </c>
      <c r="K62" s="10">
        <f t="shared" si="5"/>
        <v>0.64555711889163281</v>
      </c>
      <c r="L62" s="10">
        <f t="shared" si="6"/>
        <v>0</v>
      </c>
      <c r="M62" s="10">
        <f t="shared" si="7"/>
        <v>0</v>
      </c>
      <c r="N62" s="5">
        <v>30047.16</v>
      </c>
      <c r="O62" s="11">
        <f t="shared" si="8"/>
        <v>31723.999999999996</v>
      </c>
      <c r="P62" s="12">
        <v>22</v>
      </c>
      <c r="Q62" s="11">
        <v>22700</v>
      </c>
      <c r="R62" s="7">
        <v>2.8</v>
      </c>
      <c r="S62" s="12"/>
      <c r="T62" s="10">
        <f t="shared" si="9"/>
        <v>0.7155465893329972</v>
      </c>
      <c r="U62" s="10">
        <f t="shared" si="10"/>
        <v>1</v>
      </c>
      <c r="V62" s="10">
        <f t="shared" si="11"/>
        <v>1</v>
      </c>
      <c r="W62" s="10">
        <f t="shared" si="12"/>
        <v>1</v>
      </c>
      <c r="X62" s="10">
        <f t="shared" si="13"/>
        <v>0.12727272727272726</v>
      </c>
      <c r="Y62" s="10">
        <f t="shared" si="14"/>
        <v>1</v>
      </c>
      <c r="Z62" s="10">
        <f t="shared" si="15"/>
        <v>1</v>
      </c>
      <c r="AA62" s="10">
        <f t="shared" si="16"/>
        <v>1</v>
      </c>
      <c r="AB62" s="12"/>
      <c r="AC62" s="10">
        <f t="shared" si="17"/>
        <v>0.7155465893329972</v>
      </c>
      <c r="AD62" s="10">
        <f t="shared" si="18"/>
        <v>0.71564597264260776</v>
      </c>
      <c r="AE62" s="10">
        <f t="shared" si="19"/>
        <v>0.71757960474687865</v>
      </c>
      <c r="AF62" s="10">
        <f t="shared" si="20"/>
        <v>0.73372552929192636</v>
      </c>
      <c r="AG62" s="10">
        <f t="shared" si="21"/>
        <v>0.12727272727272726</v>
      </c>
      <c r="AH62" s="10">
        <f t="shared" si="22"/>
        <v>0.12733650105491467</v>
      </c>
      <c r="AI62" s="10">
        <f t="shared" si="22"/>
        <v>0.12752384613261453</v>
      </c>
      <c r="AJ62" s="10">
        <f t="shared" si="22"/>
        <v>0.15900548108953649</v>
      </c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</row>
    <row r="63" spans="1:61" s="7" customFormat="1" x14ac:dyDescent="0.3">
      <c r="A63" s="7" t="s">
        <v>54</v>
      </c>
      <c r="B63" s="11">
        <v>1542.4775466189983</v>
      </c>
      <c r="C63" s="11">
        <v>0</v>
      </c>
      <c r="D63" s="11">
        <v>26670.292194917463</v>
      </c>
      <c r="E63" s="10">
        <f t="shared" si="23"/>
        <v>1232.6432704337626</v>
      </c>
      <c r="F63" s="10">
        <f t="shared" si="24"/>
        <v>22270.514202814451</v>
      </c>
      <c r="G63" s="10">
        <f t="shared" si="25"/>
        <v>87290.440181667102</v>
      </c>
      <c r="H63" s="10">
        <f t="shared" si="2"/>
        <v>0.26390957411225974</v>
      </c>
      <c r="I63" s="10">
        <f t="shared" si="3"/>
        <v>2.017678188044755</v>
      </c>
      <c r="J63" s="10">
        <f t="shared" si="4"/>
        <v>97.806515147134562</v>
      </c>
      <c r="K63" s="10">
        <f t="shared" si="5"/>
        <v>95.055670578328616</v>
      </c>
      <c r="L63" s="10">
        <f t="shared" si="6"/>
        <v>0</v>
      </c>
      <c r="M63" s="10">
        <f t="shared" si="7"/>
        <v>0</v>
      </c>
      <c r="N63" s="5">
        <v>247628.51099999997</v>
      </c>
      <c r="O63" s="11">
        <f t="shared" si="8"/>
        <v>261447.89999999994</v>
      </c>
      <c r="P63" s="12">
        <v>42.2</v>
      </c>
      <c r="Q63" s="11">
        <v>285537.54000000004</v>
      </c>
      <c r="R63" s="7">
        <v>27.007000000000001</v>
      </c>
      <c r="S63" s="12"/>
      <c r="T63" s="10">
        <f t="shared" si="9"/>
        <v>1.0921393516643281</v>
      </c>
      <c r="U63" s="10">
        <f t="shared" si="10"/>
        <v>3</v>
      </c>
      <c r="V63" s="10">
        <f t="shared" si="11"/>
        <v>3</v>
      </c>
      <c r="W63" s="10">
        <f t="shared" si="12"/>
        <v>4</v>
      </c>
      <c r="X63" s="10">
        <f t="shared" si="13"/>
        <v>0.63997630331753552</v>
      </c>
      <c r="Y63" s="10">
        <f t="shared" si="14"/>
        <v>1</v>
      </c>
      <c r="Z63" s="10">
        <f t="shared" si="15"/>
        <v>1</v>
      </c>
      <c r="AA63" s="10">
        <f t="shared" si="16"/>
        <v>2</v>
      </c>
      <c r="AB63" s="12"/>
      <c r="AC63" s="10">
        <f t="shared" si="17"/>
        <v>1.0921393516643281</v>
      </c>
      <c r="AD63" s="10">
        <f t="shared" si="18"/>
        <v>1.0968540319904421</v>
      </c>
      <c r="AE63" s="10">
        <f t="shared" si="19"/>
        <v>1.1773208130675923</v>
      </c>
      <c r="AF63" s="10">
        <f t="shared" si="20"/>
        <v>1.4260125255611815</v>
      </c>
      <c r="AG63" s="10">
        <f t="shared" si="21"/>
        <v>0.63997630331753552</v>
      </c>
      <c r="AH63" s="10">
        <f t="shared" si="22"/>
        <v>0.6462300846946033</v>
      </c>
      <c r="AI63" s="10">
        <f t="shared" si="22"/>
        <v>0.68778858265508902</v>
      </c>
      <c r="AJ63" s="10">
        <f t="shared" si="22"/>
        <v>2.9576662357140893</v>
      </c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</row>
    <row r="64" spans="1:61" s="7" customFormat="1" x14ac:dyDescent="0.3">
      <c r="A64" s="7" t="s">
        <v>55</v>
      </c>
      <c r="B64" s="11">
        <v>0</v>
      </c>
      <c r="C64" s="11">
        <v>0</v>
      </c>
      <c r="D64" s="11">
        <v>0</v>
      </c>
      <c r="E64" s="10">
        <f t="shared" si="23"/>
        <v>0</v>
      </c>
      <c r="F64" s="10">
        <f t="shared" si="24"/>
        <v>0</v>
      </c>
      <c r="G64" s="10">
        <f t="shared" si="25"/>
        <v>0</v>
      </c>
      <c r="H64" s="10">
        <f t="shared" si="2"/>
        <v>0</v>
      </c>
      <c r="I64" s="10">
        <f t="shared" si="3"/>
        <v>0</v>
      </c>
      <c r="J64" s="10">
        <f t="shared" si="4"/>
        <v>0</v>
      </c>
      <c r="K64" s="10">
        <f t="shared" si="5"/>
        <v>0</v>
      </c>
      <c r="L64" s="10">
        <f t="shared" si="6"/>
        <v>0</v>
      </c>
      <c r="M64" s="10">
        <f t="shared" si="7"/>
        <v>0</v>
      </c>
      <c r="N64" s="5">
        <v>1310.3532</v>
      </c>
      <c r="O64" s="11">
        <f t="shared" si="8"/>
        <v>1383.4799999999998</v>
      </c>
      <c r="P64" s="12">
        <v>10</v>
      </c>
      <c r="Q64" s="11">
        <v>475</v>
      </c>
      <c r="R64" s="7">
        <v>0.1</v>
      </c>
      <c r="S64" s="12"/>
      <c r="T64" s="10">
        <f t="shared" si="9"/>
        <v>0.34333709197097179</v>
      </c>
      <c r="U64" s="10">
        <f t="shared" si="10"/>
        <v>1</v>
      </c>
      <c r="V64" s="10">
        <f t="shared" si="11"/>
        <v>1</v>
      </c>
      <c r="W64" s="10">
        <f t="shared" si="12"/>
        <v>1</v>
      </c>
      <c r="X64" s="10">
        <f t="shared" si="13"/>
        <v>0.01</v>
      </c>
      <c r="Y64" s="10">
        <f t="shared" si="14"/>
        <v>1</v>
      </c>
      <c r="Z64" s="10">
        <f t="shared" si="15"/>
        <v>1</v>
      </c>
      <c r="AA64" s="10">
        <f t="shared" si="16"/>
        <v>1</v>
      </c>
      <c r="AB64" s="12"/>
      <c r="AC64" s="10">
        <f t="shared" si="17"/>
        <v>0.34333709197097179</v>
      </c>
      <c r="AD64" s="10">
        <f t="shared" si="18"/>
        <v>0.34333709197097179</v>
      </c>
      <c r="AE64" s="10">
        <f t="shared" si="19"/>
        <v>0.34333709197097179</v>
      </c>
      <c r="AF64" s="10">
        <f t="shared" si="20"/>
        <v>0.34333709197097179</v>
      </c>
      <c r="AG64" s="10">
        <f t="shared" si="21"/>
        <v>0.01</v>
      </c>
      <c r="AH64" s="10">
        <f t="shared" si="22"/>
        <v>0.01</v>
      </c>
      <c r="AI64" s="10">
        <f t="shared" si="22"/>
        <v>0.01</v>
      </c>
      <c r="AJ64" s="10">
        <f t="shared" si="22"/>
        <v>0.01</v>
      </c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</row>
    <row r="65" spans="1:61" s="7" customFormat="1" x14ac:dyDescent="0.3">
      <c r="A65" s="7" t="s">
        <v>56</v>
      </c>
      <c r="B65" s="11">
        <v>0</v>
      </c>
      <c r="C65" s="11">
        <v>0</v>
      </c>
      <c r="D65" s="11">
        <v>0</v>
      </c>
      <c r="E65" s="10">
        <f t="shared" si="23"/>
        <v>0</v>
      </c>
      <c r="F65" s="10">
        <f t="shared" si="24"/>
        <v>0</v>
      </c>
      <c r="G65" s="10">
        <f t="shared" si="25"/>
        <v>0</v>
      </c>
      <c r="H65" s="10">
        <f t="shared" si="2"/>
        <v>0</v>
      </c>
      <c r="I65" s="10">
        <f t="shared" si="3"/>
        <v>0</v>
      </c>
      <c r="J65" s="10">
        <f t="shared" si="4"/>
        <v>0</v>
      </c>
      <c r="K65" s="10">
        <f t="shared" si="5"/>
        <v>0</v>
      </c>
      <c r="L65" s="10">
        <f t="shared" si="6"/>
        <v>0</v>
      </c>
      <c r="M65" s="10">
        <f t="shared" si="7"/>
        <v>0</v>
      </c>
      <c r="N65" s="5">
        <v>8197.3320000000094</v>
      </c>
      <c r="O65" s="11">
        <f t="shared" si="8"/>
        <v>8654.8000000000084</v>
      </c>
      <c r="P65" s="12">
        <v>33.200000000000003</v>
      </c>
      <c r="Q65" s="11">
        <v>22126.399999999998</v>
      </c>
      <c r="R65" s="7">
        <v>0.1391</v>
      </c>
      <c r="S65" s="12"/>
      <c r="T65" s="10">
        <f t="shared" si="9"/>
        <v>2.5565466561907817</v>
      </c>
      <c r="U65" s="10">
        <f t="shared" si="10"/>
        <v>3</v>
      </c>
      <c r="V65" s="10">
        <f t="shared" si="11"/>
        <v>3</v>
      </c>
      <c r="W65" s="10">
        <f t="shared" si="12"/>
        <v>3</v>
      </c>
      <c r="X65" s="10">
        <f t="shared" si="13"/>
        <v>4.1897590361445781E-3</v>
      </c>
      <c r="Y65" s="10">
        <f t="shared" si="14"/>
        <v>1</v>
      </c>
      <c r="Z65" s="10">
        <f t="shared" si="15"/>
        <v>1</v>
      </c>
      <c r="AA65" s="10">
        <f t="shared" si="16"/>
        <v>1</v>
      </c>
      <c r="AB65" s="12"/>
      <c r="AC65" s="10">
        <f t="shared" si="17"/>
        <v>2.5565466561907817</v>
      </c>
      <c r="AD65" s="10">
        <f t="shared" si="18"/>
        <v>2.5565466561907817</v>
      </c>
      <c r="AE65" s="10">
        <f t="shared" si="19"/>
        <v>2.5565466561907817</v>
      </c>
      <c r="AF65" s="10">
        <f t="shared" si="20"/>
        <v>2.5565466561907817</v>
      </c>
      <c r="AG65" s="10">
        <f t="shared" si="21"/>
        <v>4.1897590361445781E-3</v>
      </c>
      <c r="AH65" s="10">
        <f t="shared" si="22"/>
        <v>4.1897590361445781E-3</v>
      </c>
      <c r="AI65" s="10">
        <f t="shared" si="22"/>
        <v>4.1897590361445781E-3</v>
      </c>
      <c r="AJ65" s="10">
        <f t="shared" si="22"/>
        <v>4.1897590361445781E-3</v>
      </c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</row>
    <row r="66" spans="1:61" s="7" customFormat="1" x14ac:dyDescent="0.3">
      <c r="A66" s="7" t="s">
        <v>57</v>
      </c>
      <c r="B66" s="11">
        <v>0</v>
      </c>
      <c r="C66" s="11">
        <v>0</v>
      </c>
      <c r="D66" s="11">
        <v>0</v>
      </c>
      <c r="E66" s="10">
        <f t="shared" si="23"/>
        <v>0</v>
      </c>
      <c r="F66" s="10">
        <f t="shared" si="24"/>
        <v>0</v>
      </c>
      <c r="G66" s="10">
        <f t="shared" si="25"/>
        <v>0</v>
      </c>
      <c r="H66" s="10">
        <f t="shared" si="2"/>
        <v>0</v>
      </c>
      <c r="I66" s="10">
        <f t="shared" si="3"/>
        <v>0</v>
      </c>
      <c r="J66" s="10">
        <f t="shared" si="4"/>
        <v>0</v>
      </c>
      <c r="K66" s="10">
        <f t="shared" si="5"/>
        <v>0</v>
      </c>
      <c r="L66" s="10">
        <f t="shared" si="6"/>
        <v>0</v>
      </c>
      <c r="M66" s="10">
        <f t="shared" si="7"/>
        <v>0</v>
      </c>
      <c r="N66" s="5">
        <v>4318.3179</v>
      </c>
      <c r="O66" s="11">
        <f t="shared" si="8"/>
        <v>4559.3099999999995</v>
      </c>
      <c r="P66" s="12">
        <v>1.6</v>
      </c>
      <c r="Q66" s="11">
        <v>6050</v>
      </c>
      <c r="R66" s="7">
        <v>0.1016</v>
      </c>
      <c r="S66" s="12"/>
      <c r="T66" s="10">
        <f t="shared" si="9"/>
        <v>1.3269551752348492</v>
      </c>
      <c r="U66" s="10">
        <f t="shared" si="10"/>
        <v>3</v>
      </c>
      <c r="V66" s="10">
        <f t="shared" si="11"/>
        <v>3</v>
      </c>
      <c r="W66" s="10">
        <f t="shared" si="12"/>
        <v>3</v>
      </c>
      <c r="X66" s="10">
        <f t="shared" si="13"/>
        <v>6.3499999999999987E-2</v>
      </c>
      <c r="Y66" s="10">
        <f t="shared" si="14"/>
        <v>1</v>
      </c>
      <c r="Z66" s="10">
        <f t="shared" si="15"/>
        <v>1</v>
      </c>
      <c r="AA66" s="10">
        <f t="shared" si="16"/>
        <v>1</v>
      </c>
      <c r="AB66" s="12"/>
      <c r="AC66" s="10">
        <f t="shared" si="17"/>
        <v>1.3269551752348492</v>
      </c>
      <c r="AD66" s="10">
        <f t="shared" si="18"/>
        <v>1.3269551752348492</v>
      </c>
      <c r="AE66" s="10">
        <f t="shared" si="19"/>
        <v>1.3269551752348492</v>
      </c>
      <c r="AF66" s="10">
        <f t="shared" si="20"/>
        <v>1.3269551752348492</v>
      </c>
      <c r="AG66" s="10">
        <f t="shared" si="21"/>
        <v>6.3499999999999987E-2</v>
      </c>
      <c r="AH66" s="10">
        <f t="shared" si="22"/>
        <v>6.3499999999999987E-2</v>
      </c>
      <c r="AI66" s="10">
        <f t="shared" si="22"/>
        <v>6.3499999999999987E-2</v>
      </c>
      <c r="AJ66" s="10">
        <f t="shared" si="22"/>
        <v>6.3499999999999987E-2</v>
      </c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</row>
    <row r="67" spans="1:61" s="7" customFormat="1" x14ac:dyDescent="0.3">
      <c r="A67" s="7" t="s">
        <v>58</v>
      </c>
      <c r="B67" s="11">
        <v>317.90844311026223</v>
      </c>
      <c r="C67" s="11">
        <v>0</v>
      </c>
      <c r="D67" s="11">
        <v>0</v>
      </c>
      <c r="E67" s="10">
        <f t="shared" si="23"/>
        <v>2.7947392166274754</v>
      </c>
      <c r="F67" s="10">
        <f t="shared" si="24"/>
        <v>57.170041201547207</v>
      </c>
      <c r="G67" s="10">
        <f t="shared" si="25"/>
        <v>511.20652571355708</v>
      </c>
      <c r="H67" s="10">
        <f t="shared" si="2"/>
        <v>1.2436688237810031E-3</v>
      </c>
      <c r="I67" s="10">
        <f t="shared" si="3"/>
        <v>4.8971330599068014E-3</v>
      </c>
      <c r="J67" s="10">
        <f t="shared" si="4"/>
        <v>0.61882854146416988</v>
      </c>
      <c r="K67" s="10">
        <f t="shared" si="5"/>
        <v>0.57223519759847208</v>
      </c>
      <c r="L67" s="10">
        <f t="shared" si="6"/>
        <v>0</v>
      </c>
      <c r="M67" s="10">
        <f t="shared" si="7"/>
        <v>0</v>
      </c>
      <c r="N67" s="5">
        <v>27220.128000000001</v>
      </c>
      <c r="O67" s="11">
        <f t="shared" si="8"/>
        <v>28739.199999999997</v>
      </c>
      <c r="P67" s="12">
        <v>12.666</v>
      </c>
      <c r="Q67" s="11">
        <v>23779</v>
      </c>
      <c r="R67" s="7">
        <v>1.29112</v>
      </c>
      <c r="S67" s="12"/>
      <c r="T67" s="10">
        <f t="shared" si="9"/>
        <v>0.8274064692127826</v>
      </c>
      <c r="U67" s="10">
        <f t="shared" si="10"/>
        <v>1</v>
      </c>
      <c r="V67" s="10">
        <f t="shared" si="11"/>
        <v>1</v>
      </c>
      <c r="W67" s="10">
        <f t="shared" si="12"/>
        <v>1</v>
      </c>
      <c r="X67" s="10">
        <f t="shared" si="13"/>
        <v>0.1019358913627033</v>
      </c>
      <c r="Y67" s="10">
        <f t="shared" si="14"/>
        <v>1</v>
      </c>
      <c r="Z67" s="10">
        <f t="shared" si="15"/>
        <v>1</v>
      </c>
      <c r="AA67" s="10">
        <f t="shared" si="16"/>
        <v>1</v>
      </c>
      <c r="AB67" s="12"/>
      <c r="AC67" s="10">
        <f t="shared" si="17"/>
        <v>0.8274064692127826</v>
      </c>
      <c r="AD67" s="10">
        <f t="shared" si="18"/>
        <v>0.82750371406360057</v>
      </c>
      <c r="AE67" s="10">
        <f t="shared" si="19"/>
        <v>0.829395739658778</v>
      </c>
      <c r="AF67" s="10">
        <f t="shared" si="20"/>
        <v>0.8451942477770279</v>
      </c>
      <c r="AG67" s="10">
        <f t="shared" si="21"/>
        <v>0.1019358913627033</v>
      </c>
      <c r="AH67" s="10">
        <f t="shared" si="22"/>
        <v>0.10203408091139909</v>
      </c>
      <c r="AI67" s="10">
        <f t="shared" si="22"/>
        <v>0.10232252747986001</v>
      </c>
      <c r="AJ67" s="10">
        <f t="shared" si="22"/>
        <v>0.15079334766020605</v>
      </c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</row>
    <row r="68" spans="1:61" s="7" customFormat="1" x14ac:dyDescent="0.3">
      <c r="A68" s="7" t="s">
        <v>59</v>
      </c>
      <c r="B68" s="11">
        <v>3304.2362245002878</v>
      </c>
      <c r="C68" s="11">
        <v>9720.9720972097239</v>
      </c>
      <c r="D68" s="11">
        <v>45489.049771705017</v>
      </c>
      <c r="E68" s="10">
        <f t="shared" si="23"/>
        <v>2298.63848523152</v>
      </c>
      <c r="F68" s="10">
        <f t="shared" si="24"/>
        <v>40183.147710612691</v>
      </c>
      <c r="G68" s="10">
        <f t="shared" si="25"/>
        <v>169619.64368510572</v>
      </c>
      <c r="H68" s="10">
        <f t="shared" si="2"/>
        <v>0.50370631773478436</v>
      </c>
      <c r="I68" s="10">
        <f t="shared" si="3"/>
        <v>3.654794510924392</v>
      </c>
      <c r="J68" s="10">
        <f t="shared" si="4"/>
        <v>191.79137089934935</v>
      </c>
      <c r="K68" s="10">
        <f t="shared" si="5"/>
        <v>183.46214965542401</v>
      </c>
      <c r="L68" s="10">
        <f t="shared" si="6"/>
        <v>0</v>
      </c>
      <c r="M68" s="10">
        <f t="shared" si="7"/>
        <v>0</v>
      </c>
      <c r="N68" s="5">
        <v>150726.42000000001</v>
      </c>
      <c r="O68" s="11">
        <f t="shared" ref="O68:O132" si="26">N68/0.663*$N$2</f>
        <v>159138</v>
      </c>
      <c r="P68" s="12">
        <v>30.8</v>
      </c>
      <c r="Q68" s="11">
        <v>165950</v>
      </c>
      <c r="R68" s="7">
        <v>24.443000000000001</v>
      </c>
      <c r="S68" s="12"/>
      <c r="T68" s="10">
        <f t="shared" ref="T68:T131" si="27">Q68/O68</f>
        <v>1.042805615252171</v>
      </c>
      <c r="U68" s="10">
        <f t="shared" ref="U68:U131" si="28">IF($AC68&lt;1,IF(AD68&gt;=1,$AM$25,$AM$24),IF(AD68&lt;$AC68*$AO$26,$AM$26,IF(AD68&lt;$AC68*$AO$27,$AM$27,$AM$28)))</f>
        <v>3</v>
      </c>
      <c r="V68" s="10">
        <f t="shared" ref="V68:V131" si="29">IF($AC68&lt;1,IF(AE68&gt;=1,$AM$25,$AM$24),IF(AE68&lt;$AC68*$AO$26,$AM$26,IF(AE68&lt;$AC68*$AO$27,$AM$27,$AM$28)))</f>
        <v>4</v>
      </c>
      <c r="W68" s="10">
        <f t="shared" ref="W68:W131" si="30">IF($AC68&lt;1,IF(AF68&gt;=1,$AM$25,$AM$24),IF(AF68&lt;$AC68*$AO$26,$AM$26,IF(AF68&lt;$AC68*$AO$27,$AM$27,$AM$28)))</f>
        <v>5</v>
      </c>
      <c r="X68" s="10">
        <f t="shared" ref="X68:X131" si="31">R68/P68</f>
        <v>0.79360389610389614</v>
      </c>
      <c r="Y68" s="10">
        <f t="shared" ref="Y68:Y131" si="32">IF($AG68&lt;1,IF(AH68&gt;=1,$AM$25,$AM$24),IF(AH68&lt;$AG68*$AO$26,$AM$26,IF(AH68&lt;$AG68*$AO$27,$AM$27,$AM$28)))</f>
        <v>1</v>
      </c>
      <c r="Z68" s="10">
        <f t="shared" ref="Z68:Z131" si="33">IF($AG68&lt;1,IF(AI68&gt;=1,$AM$25,$AM$24),IF(AI68&lt;$AG68*$AO$26,$AM$26,IF(AI68&lt;$AG68*$AO$27,$AM$27,$AM$28)))</f>
        <v>1</v>
      </c>
      <c r="AA68" s="10">
        <f t="shared" ref="AA68:AA131" si="34">IF($AG68&lt;1,IF(AJ68&gt;=1,$AM$25,$AM$24),IF(AJ68&lt;$AG68*$AO$26,$AM$26,IF(AJ68&lt;$AG68*$AO$27,$AM$27,$AM$28)))</f>
        <v>2</v>
      </c>
      <c r="AB68" s="12"/>
      <c r="AC68" s="10">
        <f t="shared" ref="AC68:AC132" si="35">Q68/O68</f>
        <v>1.042805615252171</v>
      </c>
      <c r="AD68" s="10">
        <f t="shared" ref="AD68:AD132" si="36">IF($O68&gt;0.001,($Q68+E68)/$O68,IF(E68&lt;0.001,0,10))</f>
        <v>1.0572499245009459</v>
      </c>
      <c r="AE68" s="10">
        <f t="shared" ref="AE68:AE132" si="37">IF($O68&gt;0.001,($Q68+F68)/$O68,IF(F68&lt;0.001,0,10))</f>
        <v>1.2953106593686781</v>
      </c>
      <c r="AF68" s="10">
        <f t="shared" ref="AF68:AF132" si="38">IF($O68&gt;0.001,($Q68+G68)/$O68,IF(G68&lt;0.001,0,10))</f>
        <v>2.1086707366254807</v>
      </c>
      <c r="AG68" s="10">
        <f t="shared" ref="AG68:AG132" si="39">R68/P68</f>
        <v>0.79360389610389614</v>
      </c>
      <c r="AH68" s="10">
        <f t="shared" ref="AH68:AJ132" si="40">IF($P68&gt;0.001,($R68+H68)/$P68,IF(H68&lt;0.001,0,10))</f>
        <v>0.80995799732905149</v>
      </c>
      <c r="AI68" s="10">
        <f t="shared" si="40"/>
        <v>0.91226605554949336</v>
      </c>
      <c r="AJ68" s="10">
        <f t="shared" si="40"/>
        <v>7.0205964577710827</v>
      </c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</row>
    <row r="69" spans="1:61" s="7" customFormat="1" x14ac:dyDescent="0.3">
      <c r="A69" s="7" t="s">
        <v>60</v>
      </c>
      <c r="B69" s="11">
        <v>0</v>
      </c>
      <c r="C69" s="11">
        <v>0</v>
      </c>
      <c r="D69" s="11">
        <v>34.272571745805152</v>
      </c>
      <c r="E69" s="10">
        <f t="shared" si="23"/>
        <v>1.5665790336834235</v>
      </c>
      <c r="F69" s="10">
        <f t="shared" si="24"/>
        <v>28.262196836443362</v>
      </c>
      <c r="G69" s="10">
        <f t="shared" si="25"/>
        <v>108.98492743278612</v>
      </c>
      <c r="H69" s="10">
        <f t="shared" si="2"/>
        <v>3.3138187320847922E-4</v>
      </c>
      <c r="I69" s="10">
        <f t="shared" si="3"/>
        <v>2.5622771836726604E-3</v>
      </c>
      <c r="J69" s="10">
        <f t="shared" si="4"/>
        <v>0.12182755305734</v>
      </c>
      <c r="K69" s="10">
        <f t="shared" si="5"/>
        <v>0.11858309824048584</v>
      </c>
      <c r="L69" s="10">
        <f t="shared" si="6"/>
        <v>0</v>
      </c>
      <c r="M69" s="10">
        <f t="shared" si="7"/>
        <v>0</v>
      </c>
      <c r="N69" s="5">
        <v>90616.121700000003</v>
      </c>
      <c r="O69" s="11">
        <f t="shared" si="26"/>
        <v>95673.12999999999</v>
      </c>
      <c r="P69" s="12">
        <v>11.240000000000002</v>
      </c>
      <c r="Q69" s="11">
        <v>126037.4</v>
      </c>
      <c r="R69" s="7">
        <v>1.4486000000000001</v>
      </c>
      <c r="S69" s="12"/>
      <c r="T69" s="10">
        <f t="shared" si="27"/>
        <v>1.3173751083506937</v>
      </c>
      <c r="U69" s="10">
        <f t="shared" si="28"/>
        <v>3</v>
      </c>
      <c r="V69" s="10">
        <f t="shared" si="29"/>
        <v>3</v>
      </c>
      <c r="W69" s="10">
        <f t="shared" si="30"/>
        <v>3</v>
      </c>
      <c r="X69" s="10">
        <f t="shared" si="31"/>
        <v>0.12887900355871884</v>
      </c>
      <c r="Y69" s="10">
        <f t="shared" si="32"/>
        <v>1</v>
      </c>
      <c r="Z69" s="10">
        <f t="shared" si="33"/>
        <v>1</v>
      </c>
      <c r="AA69" s="10">
        <f t="shared" si="34"/>
        <v>1</v>
      </c>
      <c r="AB69" s="12"/>
      <c r="AC69" s="10">
        <f t="shared" si="35"/>
        <v>1.3173751083506937</v>
      </c>
      <c r="AD69" s="10">
        <f t="shared" si="36"/>
        <v>1.317391482635027</v>
      </c>
      <c r="AE69" s="10">
        <f t="shared" si="37"/>
        <v>1.3176705120532426</v>
      </c>
      <c r="AF69" s="10">
        <f t="shared" si="38"/>
        <v>1.3185142466587305</v>
      </c>
      <c r="AG69" s="10">
        <f t="shared" si="39"/>
        <v>0.12887900355871884</v>
      </c>
      <c r="AH69" s="10">
        <f t="shared" si="40"/>
        <v>0.12890848593178009</v>
      </c>
      <c r="AI69" s="10">
        <f t="shared" si="40"/>
        <v>0.12910696416224846</v>
      </c>
      <c r="AJ69" s="10">
        <f t="shared" si="40"/>
        <v>0.13971775383072418</v>
      </c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</row>
    <row r="70" spans="1:61" s="7" customFormat="1" x14ac:dyDescent="0.3">
      <c r="A70" s="7" t="s">
        <v>61</v>
      </c>
      <c r="B70" s="11">
        <v>169.71758789478753</v>
      </c>
      <c r="C70" s="11">
        <v>0</v>
      </c>
      <c r="D70" s="11">
        <v>0</v>
      </c>
      <c r="E70" s="10">
        <f t="shared" si="23"/>
        <v>1.4919905681035122</v>
      </c>
      <c r="F70" s="10">
        <f t="shared" si="24"/>
        <v>30.5206159284261</v>
      </c>
      <c r="G70" s="10">
        <f t="shared" si="25"/>
        <v>272.9110860075138</v>
      </c>
      <c r="H70" s="10">
        <f t="shared" si="2"/>
        <v>6.639410732443234E-4</v>
      </c>
      <c r="I70" s="10">
        <f t="shared" si="3"/>
        <v>2.6143678425015484E-3</v>
      </c>
      <c r="J70" s="10">
        <f t="shared" si="4"/>
        <v>0.33036583221956628</v>
      </c>
      <c r="K70" s="10">
        <f t="shared" si="5"/>
        <v>0.30549165821061758</v>
      </c>
      <c r="L70" s="10">
        <f t="shared" si="6"/>
        <v>0</v>
      </c>
      <c r="M70" s="10">
        <f t="shared" si="7"/>
        <v>0</v>
      </c>
      <c r="N70" s="5">
        <v>57562.986000000004</v>
      </c>
      <c r="O70" s="11">
        <f t="shared" si="26"/>
        <v>60775.399999999994</v>
      </c>
      <c r="P70" s="12">
        <v>13.680000000000001</v>
      </c>
      <c r="Q70" s="11">
        <v>58671.880000000005</v>
      </c>
      <c r="R70" s="7">
        <v>10.122</v>
      </c>
      <c r="S70" s="12"/>
      <c r="T70" s="10">
        <f t="shared" si="27"/>
        <v>0.9653886276355238</v>
      </c>
      <c r="U70" s="10">
        <f t="shared" si="28"/>
        <v>1</v>
      </c>
      <c r="V70" s="10">
        <f t="shared" si="29"/>
        <v>1</v>
      </c>
      <c r="W70" s="10">
        <f t="shared" si="30"/>
        <v>1</v>
      </c>
      <c r="X70" s="10">
        <f t="shared" si="31"/>
        <v>0.7399122807017543</v>
      </c>
      <c r="Y70" s="10">
        <f t="shared" si="32"/>
        <v>1</v>
      </c>
      <c r="Z70" s="10">
        <f t="shared" si="33"/>
        <v>1</v>
      </c>
      <c r="AA70" s="10">
        <f t="shared" si="34"/>
        <v>1</v>
      </c>
      <c r="AB70" s="12"/>
      <c r="AC70" s="10">
        <f t="shared" si="35"/>
        <v>0.9653886276355238</v>
      </c>
      <c r="AD70" s="10">
        <f t="shared" si="36"/>
        <v>0.96541317688683437</v>
      </c>
      <c r="AE70" s="10">
        <f t="shared" si="37"/>
        <v>0.96589081463764015</v>
      </c>
      <c r="AF70" s="10">
        <f t="shared" si="38"/>
        <v>0.96987911368756974</v>
      </c>
      <c r="AG70" s="10">
        <f t="shared" si="39"/>
        <v>0.7399122807017543</v>
      </c>
      <c r="AH70" s="10">
        <f t="shared" si="40"/>
        <v>0.73996081440593875</v>
      </c>
      <c r="AI70" s="10">
        <f t="shared" si="40"/>
        <v>0.74010338946217102</v>
      </c>
      <c r="AJ70" s="10">
        <f t="shared" si="40"/>
        <v>0.76406182984061155</v>
      </c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</row>
    <row r="71" spans="1:61" s="7" customFormat="1" x14ac:dyDescent="0.3">
      <c r="A71" s="7" t="s">
        <v>62</v>
      </c>
      <c r="B71" s="11">
        <v>0</v>
      </c>
      <c r="C71" s="11">
        <v>0</v>
      </c>
      <c r="D71" s="11">
        <v>0</v>
      </c>
      <c r="E71" s="10">
        <f t="shared" si="23"/>
        <v>0</v>
      </c>
      <c r="F71" s="10">
        <f t="shared" si="24"/>
        <v>0</v>
      </c>
      <c r="G71" s="10">
        <f t="shared" si="25"/>
        <v>0</v>
      </c>
      <c r="H71" s="10">
        <f t="shared" si="2"/>
        <v>0</v>
      </c>
      <c r="I71" s="10">
        <f t="shared" si="3"/>
        <v>0</v>
      </c>
      <c r="J71" s="10">
        <f t="shared" si="4"/>
        <v>0</v>
      </c>
      <c r="K71" s="10">
        <f t="shared" si="5"/>
        <v>0</v>
      </c>
      <c r="L71" s="10">
        <f t="shared" si="6"/>
        <v>0</v>
      </c>
      <c r="M71" s="10">
        <f t="shared" si="7"/>
        <v>0</v>
      </c>
      <c r="N71" s="5">
        <v>46510.776000000005</v>
      </c>
      <c r="O71" s="11">
        <f t="shared" si="26"/>
        <v>49106.399999999994</v>
      </c>
      <c r="P71" s="12">
        <v>25.582000000000001</v>
      </c>
      <c r="Q71" s="11">
        <v>38560</v>
      </c>
      <c r="R71" s="7">
        <v>3.3241000000000001</v>
      </c>
      <c r="S71" s="12"/>
      <c r="T71" s="10">
        <f t="shared" si="27"/>
        <v>0.78523369662610176</v>
      </c>
      <c r="U71" s="10">
        <f t="shared" si="28"/>
        <v>1</v>
      </c>
      <c r="V71" s="10">
        <f t="shared" si="29"/>
        <v>1</v>
      </c>
      <c r="W71" s="10">
        <f t="shared" si="30"/>
        <v>1</v>
      </c>
      <c r="X71" s="10">
        <f t="shared" si="31"/>
        <v>0.12993901962317253</v>
      </c>
      <c r="Y71" s="10">
        <f t="shared" si="32"/>
        <v>1</v>
      </c>
      <c r="Z71" s="10">
        <f t="shared" si="33"/>
        <v>1</v>
      </c>
      <c r="AA71" s="10">
        <f t="shared" si="34"/>
        <v>1</v>
      </c>
      <c r="AB71" s="12"/>
      <c r="AC71" s="10">
        <f t="shared" si="35"/>
        <v>0.78523369662610176</v>
      </c>
      <c r="AD71" s="10">
        <f t="shared" si="36"/>
        <v>0.78523369662610176</v>
      </c>
      <c r="AE71" s="10">
        <f t="shared" si="37"/>
        <v>0.78523369662610176</v>
      </c>
      <c r="AF71" s="10">
        <f t="shared" si="38"/>
        <v>0.78523369662610176</v>
      </c>
      <c r="AG71" s="10">
        <f t="shared" si="39"/>
        <v>0.12993901962317253</v>
      </c>
      <c r="AH71" s="10">
        <f t="shared" si="40"/>
        <v>0.12993901962317253</v>
      </c>
      <c r="AI71" s="10">
        <f t="shared" si="40"/>
        <v>0.12993901962317253</v>
      </c>
      <c r="AJ71" s="10">
        <f t="shared" si="40"/>
        <v>0.12993901962317253</v>
      </c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</row>
    <row r="72" spans="1:61" s="7" customFormat="1" x14ac:dyDescent="0.3">
      <c r="A72" s="7" t="s">
        <v>63</v>
      </c>
      <c r="B72" s="11">
        <v>0</v>
      </c>
      <c r="C72" s="11">
        <v>0</v>
      </c>
      <c r="D72" s="11">
        <v>0</v>
      </c>
      <c r="E72" s="10">
        <f t="shared" si="23"/>
        <v>0</v>
      </c>
      <c r="F72" s="10">
        <f t="shared" si="24"/>
        <v>0</v>
      </c>
      <c r="G72" s="10">
        <f t="shared" si="25"/>
        <v>0</v>
      </c>
      <c r="H72" s="10">
        <f t="shared" si="2"/>
        <v>0</v>
      </c>
      <c r="I72" s="10">
        <f t="shared" si="3"/>
        <v>0</v>
      </c>
      <c r="J72" s="10">
        <f t="shared" si="4"/>
        <v>0</v>
      </c>
      <c r="K72" s="10">
        <f t="shared" si="5"/>
        <v>0</v>
      </c>
      <c r="L72" s="10">
        <f t="shared" si="6"/>
        <v>0</v>
      </c>
      <c r="M72" s="10">
        <f t="shared" si="7"/>
        <v>0</v>
      </c>
      <c r="N72" s="5">
        <v>121786.47</v>
      </c>
      <c r="O72" s="11">
        <f t="shared" si="26"/>
        <v>128582.99999999999</v>
      </c>
      <c r="P72" s="12">
        <v>45.2</v>
      </c>
      <c r="Q72" s="11">
        <v>145000</v>
      </c>
      <c r="R72" s="7">
        <v>0.89</v>
      </c>
      <c r="S72" s="12"/>
      <c r="T72" s="10">
        <f t="shared" si="27"/>
        <v>1.1276762869119559</v>
      </c>
      <c r="U72" s="10">
        <f t="shared" si="28"/>
        <v>3</v>
      </c>
      <c r="V72" s="10">
        <f t="shared" si="29"/>
        <v>3</v>
      </c>
      <c r="W72" s="10">
        <f t="shared" si="30"/>
        <v>3</v>
      </c>
      <c r="X72" s="10">
        <f t="shared" si="31"/>
        <v>1.9690265486725662E-2</v>
      </c>
      <c r="Y72" s="10">
        <f t="shared" si="32"/>
        <v>1</v>
      </c>
      <c r="Z72" s="10">
        <f t="shared" si="33"/>
        <v>1</v>
      </c>
      <c r="AA72" s="10">
        <f t="shared" si="34"/>
        <v>1</v>
      </c>
      <c r="AB72" s="12"/>
      <c r="AC72" s="10">
        <f t="shared" si="35"/>
        <v>1.1276762869119559</v>
      </c>
      <c r="AD72" s="10">
        <f t="shared" si="36"/>
        <v>1.1276762869119559</v>
      </c>
      <c r="AE72" s="10">
        <f t="shared" si="37"/>
        <v>1.1276762869119559</v>
      </c>
      <c r="AF72" s="10">
        <f t="shared" si="38"/>
        <v>1.1276762869119559</v>
      </c>
      <c r="AG72" s="10">
        <f t="shared" si="39"/>
        <v>1.9690265486725662E-2</v>
      </c>
      <c r="AH72" s="10">
        <f t="shared" si="40"/>
        <v>1.9690265486725662E-2</v>
      </c>
      <c r="AI72" s="10">
        <f t="shared" si="40"/>
        <v>1.9690265486725662E-2</v>
      </c>
      <c r="AJ72" s="10">
        <f t="shared" si="40"/>
        <v>1.9690265486725662E-2</v>
      </c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</row>
    <row r="73" spans="1:61" s="7" customFormat="1" x14ac:dyDescent="0.3">
      <c r="A73" s="7" t="s">
        <v>197</v>
      </c>
      <c r="B73" s="11">
        <v>0</v>
      </c>
      <c r="C73" s="11">
        <v>0</v>
      </c>
      <c r="D73" s="11">
        <v>0</v>
      </c>
      <c r="E73" s="10">
        <f t="shared" si="23"/>
        <v>0</v>
      </c>
      <c r="F73" s="10">
        <f t="shared" si="24"/>
        <v>0</v>
      </c>
      <c r="G73" s="10">
        <f t="shared" si="25"/>
        <v>0</v>
      </c>
      <c r="H73" s="10">
        <f t="shared" si="2"/>
        <v>0</v>
      </c>
      <c r="I73" s="10">
        <f t="shared" si="3"/>
        <v>0</v>
      </c>
      <c r="J73" s="10">
        <f t="shared" si="4"/>
        <v>0</v>
      </c>
      <c r="K73" s="10">
        <f t="shared" si="5"/>
        <v>0</v>
      </c>
      <c r="L73" s="10">
        <f t="shared" si="6"/>
        <v>0</v>
      </c>
      <c r="M73" s="10">
        <f t="shared" si="7"/>
        <v>0</v>
      </c>
      <c r="N73" s="5">
        <v>205.46370000000007</v>
      </c>
      <c r="O73" s="11">
        <f t="shared" si="26"/>
        <v>216.93000000000006</v>
      </c>
      <c r="P73" s="12">
        <v>6.28</v>
      </c>
      <c r="Q73" s="11">
        <v>8151.1</v>
      </c>
      <c r="R73" s="7">
        <v>0.17499999999999999</v>
      </c>
      <c r="S73" s="12"/>
      <c r="T73" s="10">
        <f t="shared" si="27"/>
        <v>37.574793712257403</v>
      </c>
      <c r="U73" s="10">
        <f t="shared" si="28"/>
        <v>3</v>
      </c>
      <c r="V73" s="10">
        <f t="shared" si="29"/>
        <v>3</v>
      </c>
      <c r="W73" s="10">
        <f t="shared" si="30"/>
        <v>3</v>
      </c>
      <c r="X73" s="10">
        <f t="shared" si="31"/>
        <v>2.7866242038216558E-2</v>
      </c>
      <c r="Y73" s="10">
        <f t="shared" si="32"/>
        <v>1</v>
      </c>
      <c r="Z73" s="10">
        <f t="shared" si="33"/>
        <v>1</v>
      </c>
      <c r="AA73" s="10">
        <f t="shared" si="34"/>
        <v>1</v>
      </c>
      <c r="AB73" s="12"/>
      <c r="AC73" s="10">
        <f t="shared" si="35"/>
        <v>37.574793712257403</v>
      </c>
      <c r="AD73" s="10">
        <f t="shared" si="36"/>
        <v>37.574793712257403</v>
      </c>
      <c r="AE73" s="10">
        <f t="shared" si="37"/>
        <v>37.574793712257403</v>
      </c>
      <c r="AF73" s="10">
        <f t="shared" si="38"/>
        <v>37.574793712257403</v>
      </c>
      <c r="AG73" s="10">
        <f t="shared" si="39"/>
        <v>2.7866242038216558E-2</v>
      </c>
      <c r="AH73" s="10">
        <f t="shared" si="40"/>
        <v>2.7866242038216558E-2</v>
      </c>
      <c r="AI73" s="10">
        <f t="shared" si="40"/>
        <v>2.7866242038216558E-2</v>
      </c>
      <c r="AJ73" s="10">
        <f t="shared" si="40"/>
        <v>2.7866242038216558E-2</v>
      </c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</row>
    <row r="74" spans="1:61" s="7" customFormat="1" x14ac:dyDescent="0.3">
      <c r="A74" s="7" t="s">
        <v>64</v>
      </c>
      <c r="B74" s="11">
        <v>0</v>
      </c>
      <c r="C74" s="11">
        <v>0</v>
      </c>
      <c r="D74" s="11">
        <v>0</v>
      </c>
      <c r="E74" s="10">
        <f t="shared" si="23"/>
        <v>0</v>
      </c>
      <c r="F74" s="10">
        <f t="shared" si="24"/>
        <v>0</v>
      </c>
      <c r="G74" s="10">
        <f t="shared" si="25"/>
        <v>0</v>
      </c>
      <c r="H74" s="10">
        <f t="shared" ref="H74:H143" si="41">($B74/1000*AO$5+$C74/1000*AO$6+$D74/1000*AO$7)/1000</f>
        <v>0</v>
      </c>
      <c r="I74" s="10">
        <f t="shared" ref="I74:I143" si="42">($B74/1000*AP$5+$C74/1000*AP$6+$D74/1000*AP$7)/1000</f>
        <v>0</v>
      </c>
      <c r="J74" s="10">
        <f t="shared" ref="J74:J143" si="43">($B74/1000*AQ$5+$C74/1000*AQ$6+$D74/1000*AQ$7)/1000</f>
        <v>0</v>
      </c>
      <c r="K74" s="10">
        <f t="shared" ref="K74:K143" si="44">$B74/1000*AO$8+$C74/1000*AO$9+$D74/1000*AO$10</f>
        <v>0</v>
      </c>
      <c r="L74" s="10">
        <f t="shared" ref="L74:L143" si="45">$B74/1000*AP$8+$C74/1000*AP$9+$D74/1000*AP$10</f>
        <v>0</v>
      </c>
      <c r="M74" s="10">
        <f t="shared" ref="M74:M143" si="46">$B74/1000*AQ$8+$C74/1000*AQ$9+$D74/1000*AQ$10</f>
        <v>0</v>
      </c>
      <c r="N74" s="5">
        <v>3095.7141999999999</v>
      </c>
      <c r="O74" s="11">
        <f t="shared" si="26"/>
        <v>3268.4765309200598</v>
      </c>
      <c r="P74" s="12">
        <v>54.2</v>
      </c>
      <c r="Q74" s="11">
        <v>12412.5</v>
      </c>
      <c r="R74" s="7">
        <v>1.4447000000000001</v>
      </c>
      <c r="S74" s="12"/>
      <c r="T74" s="10">
        <f t="shared" si="27"/>
        <v>3.7976408527265586</v>
      </c>
      <c r="U74" s="10">
        <f t="shared" si="28"/>
        <v>3</v>
      </c>
      <c r="V74" s="10">
        <f t="shared" si="29"/>
        <v>3</v>
      </c>
      <c r="W74" s="10">
        <f t="shared" si="30"/>
        <v>3</v>
      </c>
      <c r="X74" s="10">
        <f t="shared" si="31"/>
        <v>2.66549815498155E-2</v>
      </c>
      <c r="Y74" s="10">
        <f t="shared" si="32"/>
        <v>1</v>
      </c>
      <c r="Z74" s="10">
        <f t="shared" si="33"/>
        <v>1</v>
      </c>
      <c r="AA74" s="10">
        <f t="shared" si="34"/>
        <v>1</v>
      </c>
      <c r="AB74" s="12"/>
      <c r="AC74" s="10">
        <f t="shared" si="35"/>
        <v>3.7976408527265586</v>
      </c>
      <c r="AD74" s="10">
        <f t="shared" si="36"/>
        <v>3.7976408527265586</v>
      </c>
      <c r="AE74" s="10">
        <f t="shared" si="37"/>
        <v>3.7976408527265586</v>
      </c>
      <c r="AF74" s="10">
        <f t="shared" si="38"/>
        <v>3.7976408527265586</v>
      </c>
      <c r="AG74" s="10">
        <f t="shared" si="39"/>
        <v>2.66549815498155E-2</v>
      </c>
      <c r="AH74" s="10">
        <f t="shared" si="40"/>
        <v>2.66549815498155E-2</v>
      </c>
      <c r="AI74" s="10">
        <f t="shared" si="40"/>
        <v>2.66549815498155E-2</v>
      </c>
      <c r="AJ74" s="10">
        <f t="shared" si="40"/>
        <v>2.66549815498155E-2</v>
      </c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</row>
    <row r="75" spans="1:61" s="7" customFormat="1" x14ac:dyDescent="0.3">
      <c r="A75" s="7" t="s">
        <v>65</v>
      </c>
      <c r="B75" s="11">
        <v>0</v>
      </c>
      <c r="C75" s="11">
        <v>0</v>
      </c>
      <c r="D75" s="11">
        <v>0</v>
      </c>
      <c r="E75" s="10">
        <f t="shared" ref="E75:E144" si="47">$B75/1000*AO$2+$C75/1000*AO$3+$D75/1000*AO$4</f>
        <v>0</v>
      </c>
      <c r="F75" s="10">
        <f t="shared" ref="F75:F144" si="48">$B75/1000*AP$2+$C75/1000*AP$3+$D75/1000*AP$4</f>
        <v>0</v>
      </c>
      <c r="G75" s="10">
        <f t="shared" ref="G75:G144" si="49">$B75/1000*AQ$2+$C75/1000*AQ$3+$D75/1000*AQ$4</f>
        <v>0</v>
      </c>
      <c r="H75" s="10">
        <f t="shared" si="41"/>
        <v>0</v>
      </c>
      <c r="I75" s="10">
        <f t="shared" si="42"/>
        <v>0</v>
      </c>
      <c r="J75" s="10">
        <f t="shared" si="43"/>
        <v>0</v>
      </c>
      <c r="K75" s="10">
        <f t="shared" si="44"/>
        <v>0</v>
      </c>
      <c r="L75" s="10">
        <f t="shared" si="45"/>
        <v>0</v>
      </c>
      <c r="M75" s="10">
        <f t="shared" si="46"/>
        <v>0</v>
      </c>
      <c r="N75" s="5">
        <v>31623.376199999999</v>
      </c>
      <c r="O75" s="11">
        <f t="shared" si="26"/>
        <v>33388.179999999993</v>
      </c>
      <c r="P75" s="12">
        <v>18.4328</v>
      </c>
      <c r="Q75" s="11">
        <v>35110</v>
      </c>
      <c r="R75" s="7">
        <v>1.607</v>
      </c>
      <c r="S75" s="12"/>
      <c r="T75" s="10">
        <f t="shared" si="27"/>
        <v>1.0515697471380592</v>
      </c>
      <c r="U75" s="10">
        <f t="shared" si="28"/>
        <v>3</v>
      </c>
      <c r="V75" s="10">
        <f t="shared" si="29"/>
        <v>3</v>
      </c>
      <c r="W75" s="10">
        <f t="shared" si="30"/>
        <v>3</v>
      </c>
      <c r="X75" s="10">
        <f t="shared" si="31"/>
        <v>8.7181545939846353E-2</v>
      </c>
      <c r="Y75" s="10">
        <f t="shared" si="32"/>
        <v>1</v>
      </c>
      <c r="Z75" s="10">
        <f t="shared" si="33"/>
        <v>1</v>
      </c>
      <c r="AA75" s="10">
        <f t="shared" si="34"/>
        <v>1</v>
      </c>
      <c r="AB75" s="12"/>
      <c r="AC75" s="10">
        <f t="shared" si="35"/>
        <v>1.0515697471380592</v>
      </c>
      <c r="AD75" s="10">
        <f t="shared" si="36"/>
        <v>1.0515697471380592</v>
      </c>
      <c r="AE75" s="10">
        <f t="shared" si="37"/>
        <v>1.0515697471380592</v>
      </c>
      <c r="AF75" s="10">
        <f t="shared" si="38"/>
        <v>1.0515697471380592</v>
      </c>
      <c r="AG75" s="10">
        <f t="shared" si="39"/>
        <v>8.7181545939846353E-2</v>
      </c>
      <c r="AH75" s="10">
        <f t="shared" si="40"/>
        <v>8.7181545939846353E-2</v>
      </c>
      <c r="AI75" s="10">
        <f t="shared" si="40"/>
        <v>8.7181545939846353E-2</v>
      </c>
      <c r="AJ75" s="10">
        <f t="shared" si="40"/>
        <v>8.7181545939846353E-2</v>
      </c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</row>
    <row r="76" spans="1:61" s="7" customFormat="1" x14ac:dyDescent="0.3">
      <c r="A76" s="7" t="s">
        <v>66</v>
      </c>
      <c r="B76" s="11">
        <v>626.26841281066231</v>
      </c>
      <c r="C76" s="11">
        <v>0</v>
      </c>
      <c r="D76" s="11">
        <v>0</v>
      </c>
      <c r="E76" s="10">
        <f t="shared" si="47"/>
        <v>5.5055376204964466</v>
      </c>
      <c r="F76" s="10">
        <f t="shared" si="48"/>
        <v>112.62296343351623</v>
      </c>
      <c r="G76" s="10">
        <f t="shared" si="49"/>
        <v>1007.0588133642046</v>
      </c>
      <c r="H76" s="10">
        <f t="shared" si="41"/>
        <v>2.4499836893645873E-3</v>
      </c>
      <c r="I76" s="10">
        <f t="shared" si="42"/>
        <v>9.6471792908209598E-3</v>
      </c>
      <c r="J76" s="10">
        <f t="shared" si="43"/>
        <v>1.219070386030249</v>
      </c>
      <c r="K76" s="10">
        <f t="shared" si="44"/>
        <v>1.1272831430591923</v>
      </c>
      <c r="L76" s="10">
        <f t="shared" si="45"/>
        <v>0</v>
      </c>
      <c r="M76" s="10">
        <f t="shared" si="46"/>
        <v>0</v>
      </c>
      <c r="N76" s="5">
        <v>45720.413699999997</v>
      </c>
      <c r="O76" s="11">
        <f t="shared" si="26"/>
        <v>48271.929999999993</v>
      </c>
      <c r="P76" s="12">
        <v>20.8</v>
      </c>
      <c r="Q76" s="11">
        <v>49030</v>
      </c>
      <c r="R76" s="7">
        <v>4.43</v>
      </c>
      <c r="S76" s="12"/>
      <c r="T76" s="10">
        <f t="shared" si="27"/>
        <v>1.0157041576750714</v>
      </c>
      <c r="U76" s="10">
        <f t="shared" si="28"/>
        <v>3</v>
      </c>
      <c r="V76" s="10">
        <f t="shared" si="29"/>
        <v>3</v>
      </c>
      <c r="W76" s="10">
        <f t="shared" si="30"/>
        <v>3</v>
      </c>
      <c r="X76" s="10">
        <f t="shared" si="31"/>
        <v>0.21298076923076922</v>
      </c>
      <c r="Y76" s="10">
        <f t="shared" si="32"/>
        <v>1</v>
      </c>
      <c r="Z76" s="10">
        <f t="shared" si="33"/>
        <v>1</v>
      </c>
      <c r="AA76" s="10">
        <f t="shared" si="34"/>
        <v>1</v>
      </c>
      <c r="AB76" s="12"/>
      <c r="AC76" s="10">
        <f t="shared" si="35"/>
        <v>1.0157041576750714</v>
      </c>
      <c r="AD76" s="10">
        <f t="shared" si="36"/>
        <v>1.0158182102439348</v>
      </c>
      <c r="AE76" s="10">
        <f t="shared" si="37"/>
        <v>1.0180372519481513</v>
      </c>
      <c r="AF76" s="10">
        <f t="shared" si="38"/>
        <v>1.036566360892639</v>
      </c>
      <c r="AG76" s="10">
        <f t="shared" si="39"/>
        <v>0.21298076923076922</v>
      </c>
      <c r="AH76" s="10">
        <f t="shared" si="40"/>
        <v>0.21309855690814253</v>
      </c>
      <c r="AI76" s="10">
        <f t="shared" si="40"/>
        <v>0.21344457592744329</v>
      </c>
      <c r="AJ76" s="10">
        <f t="shared" si="40"/>
        <v>0.27158992240530039</v>
      </c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</row>
    <row r="77" spans="1:61" s="7" customFormat="1" x14ac:dyDescent="0.3">
      <c r="A77" s="7" t="s">
        <v>67</v>
      </c>
      <c r="B77" s="11">
        <v>0</v>
      </c>
      <c r="C77" s="11">
        <v>0</v>
      </c>
      <c r="D77" s="11">
        <v>0</v>
      </c>
      <c r="E77" s="10">
        <f t="shared" si="47"/>
        <v>0</v>
      </c>
      <c r="F77" s="10">
        <f t="shared" si="48"/>
        <v>0</v>
      </c>
      <c r="G77" s="10">
        <f t="shared" si="49"/>
        <v>0</v>
      </c>
      <c r="H77" s="10">
        <f t="shared" si="41"/>
        <v>0</v>
      </c>
      <c r="I77" s="10">
        <f t="shared" si="42"/>
        <v>0</v>
      </c>
      <c r="J77" s="10">
        <f t="shared" si="43"/>
        <v>0</v>
      </c>
      <c r="K77" s="10">
        <f t="shared" si="44"/>
        <v>0</v>
      </c>
      <c r="L77" s="10">
        <f t="shared" si="45"/>
        <v>0</v>
      </c>
      <c r="M77" s="10">
        <f t="shared" si="46"/>
        <v>0</v>
      </c>
      <c r="N77" s="5">
        <v>20482.870500000001</v>
      </c>
      <c r="O77" s="11">
        <f t="shared" si="26"/>
        <v>21625.956787330317</v>
      </c>
      <c r="P77" s="12">
        <v>34</v>
      </c>
      <c r="Q77" s="11">
        <v>18720</v>
      </c>
      <c r="R77" s="7">
        <v>0.28999999999999998</v>
      </c>
      <c r="S77" s="12"/>
      <c r="T77" s="10">
        <f t="shared" si="27"/>
        <v>0.86562644067462546</v>
      </c>
      <c r="U77" s="10">
        <f t="shared" si="28"/>
        <v>1</v>
      </c>
      <c r="V77" s="10">
        <f t="shared" si="29"/>
        <v>1</v>
      </c>
      <c r="W77" s="10">
        <f t="shared" si="30"/>
        <v>1</v>
      </c>
      <c r="X77" s="10">
        <f t="shared" si="31"/>
        <v>8.5294117647058826E-3</v>
      </c>
      <c r="Y77" s="10">
        <f t="shared" si="32"/>
        <v>1</v>
      </c>
      <c r="Z77" s="10">
        <f t="shared" si="33"/>
        <v>1</v>
      </c>
      <c r="AA77" s="10">
        <f t="shared" si="34"/>
        <v>1</v>
      </c>
      <c r="AB77" s="12"/>
      <c r="AC77" s="10">
        <f t="shared" si="35"/>
        <v>0.86562644067462546</v>
      </c>
      <c r="AD77" s="10">
        <f t="shared" si="36"/>
        <v>0.86562644067462546</v>
      </c>
      <c r="AE77" s="10">
        <f t="shared" si="37"/>
        <v>0.86562644067462546</v>
      </c>
      <c r="AF77" s="10">
        <f t="shared" si="38"/>
        <v>0.86562644067462546</v>
      </c>
      <c r="AG77" s="10">
        <f t="shared" si="39"/>
        <v>8.5294117647058826E-3</v>
      </c>
      <c r="AH77" s="10">
        <f t="shared" si="40"/>
        <v>8.5294117647058826E-3</v>
      </c>
      <c r="AI77" s="10">
        <f t="shared" si="40"/>
        <v>8.5294117647058826E-3</v>
      </c>
      <c r="AJ77" s="10">
        <f t="shared" si="40"/>
        <v>8.5294117647058826E-3</v>
      </c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</row>
    <row r="78" spans="1:61" s="7" customFormat="1" x14ac:dyDescent="0.3">
      <c r="A78" s="7" t="s">
        <v>68</v>
      </c>
      <c r="B78" s="11">
        <v>25133.808381284853</v>
      </c>
      <c r="C78" s="11">
        <v>810.08100810081044</v>
      </c>
      <c r="D78" s="11">
        <v>52966.701788971593</v>
      </c>
      <c r="E78" s="10">
        <f t="shared" si="47"/>
        <v>2657.887917524828</v>
      </c>
      <c r="F78" s="10">
        <f t="shared" si="48"/>
        <v>48370.90622771412</v>
      </c>
      <c r="G78" s="10">
        <f t="shared" si="49"/>
        <v>210484.9868543348</v>
      </c>
      <c r="H78" s="10">
        <f t="shared" si="41"/>
        <v>0.61470544222398493</v>
      </c>
      <c r="I78" s="10">
        <f t="shared" si="42"/>
        <v>4.3639709736124601</v>
      </c>
      <c r="J78" s="10">
        <f t="shared" si="43"/>
        <v>239.17522239212951</v>
      </c>
      <c r="K78" s="10">
        <f t="shared" si="44"/>
        <v>230.18251096292312</v>
      </c>
      <c r="L78" s="10">
        <f t="shared" si="45"/>
        <v>0</v>
      </c>
      <c r="M78" s="10">
        <f t="shared" si="46"/>
        <v>0</v>
      </c>
      <c r="N78" s="5">
        <v>1284575.76</v>
      </c>
      <c r="O78" s="11">
        <f t="shared" si="26"/>
        <v>1356264</v>
      </c>
      <c r="P78" s="12">
        <v>382.18000000000006</v>
      </c>
      <c r="Q78" s="11">
        <v>1790450.764</v>
      </c>
      <c r="R78" s="7">
        <v>647.5</v>
      </c>
      <c r="S78" s="12"/>
      <c r="T78" s="10">
        <f t="shared" si="27"/>
        <v>1.3201344015619378</v>
      </c>
      <c r="U78" s="10">
        <f t="shared" si="28"/>
        <v>3</v>
      </c>
      <c r="V78" s="10">
        <f t="shared" si="29"/>
        <v>3</v>
      </c>
      <c r="W78" s="10">
        <f t="shared" si="30"/>
        <v>4</v>
      </c>
      <c r="X78" s="10">
        <f t="shared" si="31"/>
        <v>1.6942278507509547</v>
      </c>
      <c r="Y78" s="10">
        <f t="shared" si="32"/>
        <v>3</v>
      </c>
      <c r="Z78" s="10">
        <f t="shared" si="33"/>
        <v>3</v>
      </c>
      <c r="AA78" s="10">
        <f t="shared" si="34"/>
        <v>4</v>
      </c>
      <c r="AB78" s="12"/>
      <c r="AC78" s="10">
        <f t="shared" si="35"/>
        <v>1.3201344015619378</v>
      </c>
      <c r="AD78" s="10">
        <f t="shared" si="36"/>
        <v>1.3220941143593909</v>
      </c>
      <c r="AE78" s="10">
        <f t="shared" si="37"/>
        <v>1.3557992177243621</v>
      </c>
      <c r="AF78" s="10">
        <f t="shared" si="38"/>
        <v>1.4753291032235132</v>
      </c>
      <c r="AG78" s="10">
        <f t="shared" si="39"/>
        <v>1.6942278507509547</v>
      </c>
      <c r="AH78" s="10">
        <f t="shared" si="40"/>
        <v>1.6958362694076716</v>
      </c>
      <c r="AI78" s="10">
        <f t="shared" si="40"/>
        <v>1.7056464780302798</v>
      </c>
      <c r="AJ78" s="10">
        <f t="shared" si="40"/>
        <v>2.3200461101892547</v>
      </c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</row>
    <row r="79" spans="1:61" s="7" customFormat="1" x14ac:dyDescent="0.3">
      <c r="A79" s="7" t="s">
        <v>69</v>
      </c>
      <c r="B79" s="11">
        <v>8861.3607838871376</v>
      </c>
      <c r="C79" s="11">
        <v>2673.2673267326745</v>
      </c>
      <c r="D79" s="11">
        <v>5919.8078470027076</v>
      </c>
      <c r="E79" s="10">
        <f t="shared" si="47"/>
        <v>400.82746154326918</v>
      </c>
      <c r="F79" s="10">
        <f t="shared" si="48"/>
        <v>7046.4634014525982</v>
      </c>
      <c r="G79" s="10">
        <f t="shared" si="49"/>
        <v>38478.751548970387</v>
      </c>
      <c r="H79" s="10">
        <f t="shared" si="41"/>
        <v>0.10591476193350585</v>
      </c>
      <c r="I79" s="10">
        <f t="shared" si="42"/>
        <v>0.63491758099065598</v>
      </c>
      <c r="J79" s="10">
        <f t="shared" si="43"/>
        <v>44.798927765373904</v>
      </c>
      <c r="K79" s="10">
        <f t="shared" si="44"/>
        <v>41.966647927962853</v>
      </c>
      <c r="L79" s="10">
        <f t="shared" si="45"/>
        <v>0</v>
      </c>
      <c r="M79" s="10">
        <f t="shared" si="46"/>
        <v>0</v>
      </c>
      <c r="N79" s="5">
        <v>607867.43940000003</v>
      </c>
      <c r="O79" s="11">
        <f t="shared" si="26"/>
        <v>641790.66</v>
      </c>
      <c r="P79" s="12">
        <v>403.74</v>
      </c>
      <c r="Q79" s="11">
        <v>623000</v>
      </c>
      <c r="R79" s="7">
        <v>222.63499999999999</v>
      </c>
      <c r="S79" s="12"/>
      <c r="T79" s="10">
        <f t="shared" si="27"/>
        <v>0.97072151221396707</v>
      </c>
      <c r="U79" s="10">
        <f t="shared" si="28"/>
        <v>1</v>
      </c>
      <c r="V79" s="10">
        <f t="shared" si="29"/>
        <v>1</v>
      </c>
      <c r="W79" s="10">
        <f t="shared" si="30"/>
        <v>2</v>
      </c>
      <c r="X79" s="10">
        <f t="shared" si="31"/>
        <v>0.5514316144053103</v>
      </c>
      <c r="Y79" s="10">
        <f t="shared" si="32"/>
        <v>1</v>
      </c>
      <c r="Z79" s="10">
        <f t="shared" si="33"/>
        <v>1</v>
      </c>
      <c r="AA79" s="10">
        <f t="shared" si="34"/>
        <v>1</v>
      </c>
      <c r="AB79" s="12"/>
      <c r="AC79" s="10">
        <f t="shared" si="35"/>
        <v>0.97072151221396707</v>
      </c>
      <c r="AD79" s="10">
        <f t="shared" si="36"/>
        <v>0.9713460577029015</v>
      </c>
      <c r="AE79" s="10">
        <f t="shared" si="37"/>
        <v>0.98170089200340283</v>
      </c>
      <c r="AF79" s="10">
        <f t="shared" si="38"/>
        <v>1.0306768122006797</v>
      </c>
      <c r="AG79" s="10">
        <f t="shared" si="39"/>
        <v>0.5514316144053103</v>
      </c>
      <c r="AH79" s="10">
        <f t="shared" si="40"/>
        <v>0.55169394848648512</v>
      </c>
      <c r="AI79" s="10">
        <f t="shared" si="40"/>
        <v>0.55300420463910094</v>
      </c>
      <c r="AJ79" s="10">
        <f t="shared" si="40"/>
        <v>0.66239145926926701</v>
      </c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</row>
    <row r="80" spans="1:61" s="7" customFormat="1" x14ac:dyDescent="0.3">
      <c r="A80" s="7" t="s">
        <v>162</v>
      </c>
      <c r="B80" s="11">
        <v>5406.9320037277448</v>
      </c>
      <c r="C80" s="11">
        <v>48604.860486048623</v>
      </c>
      <c r="D80" s="11">
        <v>0</v>
      </c>
      <c r="E80" s="10">
        <f t="shared" si="47"/>
        <v>999.09871650499724</v>
      </c>
      <c r="F80" s="10">
        <f t="shared" si="48"/>
        <v>11358.82798154683</v>
      </c>
      <c r="G80" s="10">
        <f t="shared" si="49"/>
        <v>106962.55567889613</v>
      </c>
      <c r="H80" s="10">
        <f t="shared" si="41"/>
        <v>0.27588164864268028</v>
      </c>
      <c r="I80" s="10">
        <f t="shared" si="42"/>
        <v>1.0985630369265451</v>
      </c>
      <c r="J80" s="10">
        <f t="shared" si="43"/>
        <v>128.83033485662588</v>
      </c>
      <c r="K80" s="10">
        <f t="shared" si="44"/>
        <v>110.34453881283058</v>
      </c>
      <c r="L80" s="10">
        <f t="shared" si="45"/>
        <v>0</v>
      </c>
      <c r="M80" s="10">
        <f t="shared" si="46"/>
        <v>0</v>
      </c>
      <c r="N80" s="5">
        <v>927266.03190000006</v>
      </c>
      <c r="O80" s="11">
        <f t="shared" si="26"/>
        <v>979013.90999999992</v>
      </c>
      <c r="P80" s="12">
        <v>27.408999999999999</v>
      </c>
      <c r="Q80" s="11">
        <v>470130</v>
      </c>
      <c r="R80" s="7">
        <v>92.95</v>
      </c>
      <c r="S80" s="12"/>
      <c r="T80" s="10">
        <f t="shared" si="27"/>
        <v>0.48020768162527949</v>
      </c>
      <c r="U80" s="10">
        <f t="shared" si="28"/>
        <v>1</v>
      </c>
      <c r="V80" s="10">
        <f t="shared" si="29"/>
        <v>1</v>
      </c>
      <c r="W80" s="10">
        <f t="shared" si="30"/>
        <v>1</v>
      </c>
      <c r="X80" s="10">
        <f t="shared" si="31"/>
        <v>3.3912218614323764</v>
      </c>
      <c r="Y80" s="10">
        <f t="shared" si="32"/>
        <v>3</v>
      </c>
      <c r="Z80" s="10">
        <f t="shared" si="33"/>
        <v>3</v>
      </c>
      <c r="AA80" s="10">
        <f t="shared" si="34"/>
        <v>5</v>
      </c>
      <c r="AB80" s="12"/>
      <c r="AC80" s="10">
        <f t="shared" si="35"/>
        <v>0.48020768162527949</v>
      </c>
      <c r="AD80" s="10">
        <f t="shared" si="36"/>
        <v>0.48122819696862634</v>
      </c>
      <c r="AE80" s="10">
        <f t="shared" si="37"/>
        <v>0.49180999683809073</v>
      </c>
      <c r="AF80" s="10">
        <f t="shared" si="38"/>
        <v>0.58946308094733424</v>
      </c>
      <c r="AG80" s="10">
        <f t="shared" si="39"/>
        <v>3.3912218614323764</v>
      </c>
      <c r="AH80" s="10">
        <f t="shared" si="40"/>
        <v>3.401287228598004</v>
      </c>
      <c r="AI80" s="10">
        <f t="shared" si="40"/>
        <v>3.4313022378389055</v>
      </c>
      <c r="AJ80" s="10">
        <f t="shared" si="40"/>
        <v>8.0915150080858798</v>
      </c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</row>
    <row r="81" spans="1:61" s="7" customFormat="1" x14ac:dyDescent="0.3">
      <c r="A81" s="7" t="s">
        <v>70</v>
      </c>
      <c r="B81" s="11">
        <v>209.1933200482909</v>
      </c>
      <c r="C81" s="11">
        <v>0</v>
      </c>
      <c r="D81" s="11">
        <v>0</v>
      </c>
      <c r="E81" s="10">
        <f t="shared" si="47"/>
        <v>1.8390224860831599</v>
      </c>
      <c r="F81" s="10">
        <f t="shared" si="48"/>
        <v>37.619607108393843</v>
      </c>
      <c r="G81" s="10">
        <f t="shared" si="49"/>
        <v>336.38927389946656</v>
      </c>
      <c r="H81" s="10">
        <f t="shared" si="41"/>
        <v>8.1837150263123224E-4</v>
      </c>
      <c r="I81" s="10">
        <f t="shared" si="42"/>
        <v>3.2224608868435555E-3</v>
      </c>
      <c r="J81" s="10">
        <f t="shared" si="43"/>
        <v>0.40720779814152813</v>
      </c>
      <c r="K81" s="10">
        <f t="shared" si="44"/>
        <v>0.37654797608692359</v>
      </c>
      <c r="L81" s="10">
        <f t="shared" si="45"/>
        <v>0</v>
      </c>
      <c r="M81" s="10">
        <f t="shared" si="46"/>
        <v>0</v>
      </c>
      <c r="N81" s="5">
        <v>281747.15400000004</v>
      </c>
      <c r="O81" s="11">
        <f t="shared" si="26"/>
        <v>297470.60000000003</v>
      </c>
      <c r="P81" s="12">
        <v>17.972000000000001</v>
      </c>
      <c r="Q81" s="11">
        <v>92500</v>
      </c>
      <c r="R81" s="7">
        <v>33.564</v>
      </c>
      <c r="S81" s="12"/>
      <c r="T81" s="10">
        <f t="shared" si="27"/>
        <v>0.31095509942831323</v>
      </c>
      <c r="U81" s="10">
        <f t="shared" si="28"/>
        <v>1</v>
      </c>
      <c r="V81" s="10">
        <f t="shared" si="29"/>
        <v>1</v>
      </c>
      <c r="W81" s="10">
        <f t="shared" si="30"/>
        <v>1</v>
      </c>
      <c r="X81" s="10">
        <f t="shared" si="31"/>
        <v>1.8675717783218337</v>
      </c>
      <c r="Y81" s="10">
        <f t="shared" si="32"/>
        <v>3</v>
      </c>
      <c r="Z81" s="10">
        <f t="shared" si="33"/>
        <v>3</v>
      </c>
      <c r="AA81" s="10">
        <f t="shared" si="34"/>
        <v>3</v>
      </c>
      <c r="AB81" s="12"/>
      <c r="AC81" s="10">
        <f t="shared" si="35"/>
        <v>0.31095509942831323</v>
      </c>
      <c r="AD81" s="10">
        <f t="shared" si="36"/>
        <v>0.31096128162744846</v>
      </c>
      <c r="AE81" s="10">
        <f t="shared" si="37"/>
        <v>0.31108156438689533</v>
      </c>
      <c r="AF81" s="10">
        <f t="shared" si="38"/>
        <v>0.31208593142952429</v>
      </c>
      <c r="AG81" s="10">
        <f t="shared" si="39"/>
        <v>1.8675717783218337</v>
      </c>
      <c r="AH81" s="10">
        <f t="shared" si="40"/>
        <v>1.8676173142389623</v>
      </c>
      <c r="AI81" s="10">
        <f t="shared" si="40"/>
        <v>1.8677510828448054</v>
      </c>
      <c r="AJ81" s="10">
        <f t="shared" si="40"/>
        <v>1.8902296793980373</v>
      </c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</row>
    <row r="82" spans="1:61" s="7" customFormat="1" x14ac:dyDescent="0.3">
      <c r="A82" s="7" t="s">
        <v>71</v>
      </c>
      <c r="B82" s="11">
        <v>0</v>
      </c>
      <c r="C82" s="11">
        <v>0</v>
      </c>
      <c r="D82" s="11">
        <v>0</v>
      </c>
      <c r="E82" s="10">
        <f t="shared" si="47"/>
        <v>0</v>
      </c>
      <c r="F82" s="10">
        <f t="shared" si="48"/>
        <v>0</v>
      </c>
      <c r="G82" s="10">
        <f t="shared" si="49"/>
        <v>0</v>
      </c>
      <c r="H82" s="10">
        <f t="shared" si="41"/>
        <v>0</v>
      </c>
      <c r="I82" s="10">
        <f t="shared" si="42"/>
        <v>0</v>
      </c>
      <c r="J82" s="10">
        <f t="shared" si="43"/>
        <v>0</v>
      </c>
      <c r="K82" s="10">
        <f t="shared" si="44"/>
        <v>0</v>
      </c>
      <c r="L82" s="10">
        <f t="shared" si="45"/>
        <v>0</v>
      </c>
      <c r="M82" s="10">
        <f t="shared" si="46"/>
        <v>0</v>
      </c>
      <c r="N82" s="5">
        <v>39567.707400000007</v>
      </c>
      <c r="O82" s="11">
        <f t="shared" si="26"/>
        <v>41775.860000000008</v>
      </c>
      <c r="P82" s="12">
        <v>10.4</v>
      </c>
      <c r="Q82" s="11">
        <v>45120</v>
      </c>
      <c r="R82" s="7">
        <v>1.427</v>
      </c>
      <c r="S82" s="12"/>
      <c r="T82" s="10">
        <f t="shared" si="27"/>
        <v>1.0800495788716256</v>
      </c>
      <c r="U82" s="10">
        <f t="shared" si="28"/>
        <v>3</v>
      </c>
      <c r="V82" s="10">
        <f t="shared" si="29"/>
        <v>3</v>
      </c>
      <c r="W82" s="10">
        <f t="shared" si="30"/>
        <v>3</v>
      </c>
      <c r="X82" s="10">
        <f t="shared" si="31"/>
        <v>0.13721153846153847</v>
      </c>
      <c r="Y82" s="10">
        <f t="shared" si="32"/>
        <v>1</v>
      </c>
      <c r="Z82" s="10">
        <f t="shared" si="33"/>
        <v>1</v>
      </c>
      <c r="AA82" s="10">
        <f t="shared" si="34"/>
        <v>1</v>
      </c>
      <c r="AB82" s="12"/>
      <c r="AC82" s="10">
        <f t="shared" si="35"/>
        <v>1.0800495788716256</v>
      </c>
      <c r="AD82" s="10">
        <f t="shared" si="36"/>
        <v>1.0800495788716256</v>
      </c>
      <c r="AE82" s="10">
        <f t="shared" si="37"/>
        <v>1.0800495788716256</v>
      </c>
      <c r="AF82" s="10">
        <f t="shared" si="38"/>
        <v>1.0800495788716256</v>
      </c>
      <c r="AG82" s="10">
        <f t="shared" si="39"/>
        <v>0.13721153846153847</v>
      </c>
      <c r="AH82" s="10">
        <f t="shared" si="40"/>
        <v>0.13721153846153847</v>
      </c>
      <c r="AI82" s="10">
        <f t="shared" si="40"/>
        <v>0.13721153846153847</v>
      </c>
      <c r="AJ82" s="10">
        <f t="shared" si="40"/>
        <v>0.13721153846153847</v>
      </c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</row>
    <row r="83" spans="1:61" s="7" customFormat="1" x14ac:dyDescent="0.3">
      <c r="A83" s="7" t="s">
        <v>72</v>
      </c>
      <c r="B83" s="11">
        <v>58.110653702922775</v>
      </c>
      <c r="C83" s="11">
        <v>0</v>
      </c>
      <c r="D83" s="11">
        <v>0</v>
      </c>
      <c r="E83" s="10">
        <f t="shared" si="47"/>
        <v>0.51085187048992353</v>
      </c>
      <c r="F83" s="10">
        <f t="shared" si="48"/>
        <v>10.450142292360196</v>
      </c>
      <c r="G83" s="10">
        <f t="shared" si="49"/>
        <v>93.443713214346715</v>
      </c>
      <c r="H83" s="10">
        <f t="shared" si="41"/>
        <v>2.273308869459411E-4</v>
      </c>
      <c r="I83" s="10">
        <f t="shared" si="42"/>
        <v>8.9514956129264401E-4</v>
      </c>
      <c r="J83" s="10">
        <f t="shared" si="43"/>
        <v>0.11311599881616463</v>
      </c>
      <c r="K83" s="10">
        <f t="shared" si="44"/>
        <v>0.104599176665261</v>
      </c>
      <c r="L83" s="10">
        <f t="shared" si="45"/>
        <v>0</v>
      </c>
      <c r="M83" s="10">
        <f t="shared" si="46"/>
        <v>0</v>
      </c>
      <c r="N83" s="5">
        <v>13134.03</v>
      </c>
      <c r="O83" s="11">
        <f t="shared" si="26"/>
        <v>13867</v>
      </c>
      <c r="P83" s="12">
        <v>0.35600000000000004</v>
      </c>
      <c r="Q83" s="11">
        <v>6464</v>
      </c>
      <c r="R83" s="7">
        <v>1.1120000000000001</v>
      </c>
      <c r="S83" s="12"/>
      <c r="T83" s="10">
        <f t="shared" si="27"/>
        <v>0.46614264080190382</v>
      </c>
      <c r="U83" s="10">
        <f t="shared" si="28"/>
        <v>1</v>
      </c>
      <c r="V83" s="10">
        <f t="shared" si="29"/>
        <v>1</v>
      </c>
      <c r="W83" s="10">
        <f t="shared" si="30"/>
        <v>1</v>
      </c>
      <c r="X83" s="10">
        <f t="shared" si="31"/>
        <v>3.1235955056179776</v>
      </c>
      <c r="Y83" s="10">
        <f t="shared" si="32"/>
        <v>3</v>
      </c>
      <c r="Z83" s="10">
        <f t="shared" si="33"/>
        <v>3</v>
      </c>
      <c r="AA83" s="10">
        <f t="shared" si="34"/>
        <v>4</v>
      </c>
      <c r="AB83" s="12"/>
      <c r="AC83" s="10">
        <f t="shared" si="35"/>
        <v>0.46614264080190382</v>
      </c>
      <c r="AD83" s="10">
        <f t="shared" si="36"/>
        <v>0.46617948019546335</v>
      </c>
      <c r="AE83" s="10">
        <f t="shared" si="37"/>
        <v>0.46689623871726837</v>
      </c>
      <c r="AF83" s="10">
        <f t="shared" si="38"/>
        <v>0.47288120813545442</v>
      </c>
      <c r="AG83" s="10">
        <f t="shared" si="39"/>
        <v>3.1235955056179776</v>
      </c>
      <c r="AH83" s="10">
        <f t="shared" si="40"/>
        <v>3.1242340755251292</v>
      </c>
      <c r="AI83" s="10">
        <f t="shared" si="40"/>
        <v>3.126109970677788</v>
      </c>
      <c r="AJ83" s="10">
        <f t="shared" si="40"/>
        <v>3.4413370753263046</v>
      </c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</row>
    <row r="84" spans="1:61" s="7" customFormat="1" x14ac:dyDescent="0.3">
      <c r="A84" s="7" t="s">
        <v>73</v>
      </c>
      <c r="B84" s="11">
        <v>618.79332931550857</v>
      </c>
      <c r="C84" s="11">
        <v>0</v>
      </c>
      <c r="D84" s="11">
        <v>23056.093719905282</v>
      </c>
      <c r="E84" s="10">
        <f t="shared" si="47"/>
        <v>1059.3202648597937</v>
      </c>
      <c r="F84" s="10">
        <f t="shared" si="48"/>
        <v>19124.029304924825</v>
      </c>
      <c r="G84" s="10">
        <f t="shared" si="49"/>
        <v>74312.171650106015</v>
      </c>
      <c r="H84" s="10">
        <f t="shared" si="41"/>
        <v>0.22535036469901332</v>
      </c>
      <c r="I84" s="10">
        <f t="shared" si="42"/>
        <v>1.7332457731691837</v>
      </c>
      <c r="J84" s="10">
        <f t="shared" si="43"/>
        <v>83.161237182756835</v>
      </c>
      <c r="K84" s="10">
        <f t="shared" si="44"/>
        <v>80.887912263640175</v>
      </c>
      <c r="L84" s="10">
        <f t="shared" si="45"/>
        <v>0</v>
      </c>
      <c r="M84" s="10">
        <f t="shared" si="46"/>
        <v>0</v>
      </c>
      <c r="N84" s="5">
        <v>128426.87909999999</v>
      </c>
      <c r="O84" s="11">
        <f t="shared" si="26"/>
        <v>135593.99</v>
      </c>
      <c r="P84" s="12">
        <v>38.260000000000005</v>
      </c>
      <c r="Q84" s="11">
        <v>129990</v>
      </c>
      <c r="R84" s="7">
        <v>34.045699999999997</v>
      </c>
      <c r="S84" s="12"/>
      <c r="T84" s="10">
        <f t="shared" si="27"/>
        <v>0.95867080834482421</v>
      </c>
      <c r="U84" s="10">
        <f t="shared" si="28"/>
        <v>1</v>
      </c>
      <c r="V84" s="10">
        <f t="shared" si="29"/>
        <v>2</v>
      </c>
      <c r="W84" s="10">
        <f t="shared" si="30"/>
        <v>2</v>
      </c>
      <c r="X84" s="10">
        <f t="shared" si="31"/>
        <v>0.88985101934134847</v>
      </c>
      <c r="Y84" s="10">
        <f t="shared" si="32"/>
        <v>1</v>
      </c>
      <c r="Z84" s="10">
        <f t="shared" si="33"/>
        <v>1</v>
      </c>
      <c r="AA84" s="10">
        <f t="shared" si="34"/>
        <v>2</v>
      </c>
      <c r="AB84" s="12"/>
      <c r="AC84" s="10">
        <f t="shared" si="35"/>
        <v>0.95867080834482421</v>
      </c>
      <c r="AD84" s="10">
        <f t="shared" si="36"/>
        <v>0.96648325095278786</v>
      </c>
      <c r="AE84" s="10">
        <f t="shared" si="37"/>
        <v>1.0997097238965003</v>
      </c>
      <c r="AF84" s="10">
        <f t="shared" si="38"/>
        <v>1.5067199634003399</v>
      </c>
      <c r="AG84" s="10">
        <f t="shared" si="39"/>
        <v>0.88985101934134847</v>
      </c>
      <c r="AH84" s="10">
        <f t="shared" si="40"/>
        <v>0.89574099228173032</v>
      </c>
      <c r="AI84" s="10">
        <f t="shared" si="40"/>
        <v>0.93515279072580171</v>
      </c>
      <c r="AJ84" s="10">
        <f t="shared" si="40"/>
        <v>3.0634327543846527</v>
      </c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</row>
    <row r="85" spans="1:61" s="7" customFormat="1" x14ac:dyDescent="0.3">
      <c r="A85" s="7" t="s">
        <v>74</v>
      </c>
      <c r="B85" s="11">
        <v>0</v>
      </c>
      <c r="C85" s="11">
        <v>0</v>
      </c>
      <c r="D85" s="11">
        <v>0</v>
      </c>
      <c r="E85" s="10">
        <f t="shared" si="47"/>
        <v>0</v>
      </c>
      <c r="F85" s="10">
        <f t="shared" si="48"/>
        <v>0</v>
      </c>
      <c r="G85" s="10">
        <f t="shared" si="49"/>
        <v>0</v>
      </c>
      <c r="H85" s="10">
        <f t="shared" si="41"/>
        <v>0</v>
      </c>
      <c r="I85" s="10">
        <f t="shared" si="42"/>
        <v>0</v>
      </c>
      <c r="J85" s="10">
        <f t="shared" si="43"/>
        <v>0</v>
      </c>
      <c r="K85" s="10">
        <f t="shared" si="44"/>
        <v>0</v>
      </c>
      <c r="L85" s="10">
        <f t="shared" si="45"/>
        <v>0</v>
      </c>
      <c r="M85" s="10">
        <f t="shared" si="46"/>
        <v>0</v>
      </c>
      <c r="N85" s="5">
        <v>3116.8293000000003</v>
      </c>
      <c r="O85" s="11">
        <f t="shared" si="26"/>
        <v>3290.77</v>
      </c>
      <c r="P85" s="12">
        <v>2.1646000000000001</v>
      </c>
      <c r="Q85" s="11">
        <v>4440</v>
      </c>
      <c r="R85" s="7">
        <v>1.35</v>
      </c>
      <c r="S85" s="12"/>
      <c r="T85" s="10">
        <f t="shared" si="27"/>
        <v>1.3492282961130677</v>
      </c>
      <c r="U85" s="10">
        <f t="shared" si="28"/>
        <v>3</v>
      </c>
      <c r="V85" s="10">
        <f t="shared" si="29"/>
        <v>3</v>
      </c>
      <c r="W85" s="10">
        <f t="shared" si="30"/>
        <v>3</v>
      </c>
      <c r="X85" s="10">
        <f t="shared" si="31"/>
        <v>0.62367181003418648</v>
      </c>
      <c r="Y85" s="10">
        <f t="shared" si="32"/>
        <v>1</v>
      </c>
      <c r="Z85" s="10">
        <f t="shared" si="33"/>
        <v>1</v>
      </c>
      <c r="AA85" s="10">
        <f t="shared" si="34"/>
        <v>1</v>
      </c>
      <c r="AB85" s="12"/>
      <c r="AC85" s="10">
        <f t="shared" si="35"/>
        <v>1.3492282961130677</v>
      </c>
      <c r="AD85" s="10">
        <f t="shared" si="36"/>
        <v>1.3492282961130677</v>
      </c>
      <c r="AE85" s="10">
        <f t="shared" si="37"/>
        <v>1.3492282961130677</v>
      </c>
      <c r="AF85" s="10">
        <f t="shared" si="38"/>
        <v>1.3492282961130677</v>
      </c>
      <c r="AG85" s="10">
        <f t="shared" si="39"/>
        <v>0.62367181003418648</v>
      </c>
      <c r="AH85" s="10">
        <f t="shared" si="40"/>
        <v>0.62367181003418648</v>
      </c>
      <c r="AI85" s="10">
        <f t="shared" si="40"/>
        <v>0.62367181003418648</v>
      </c>
      <c r="AJ85" s="10">
        <f t="shared" si="40"/>
        <v>0.62367181003418648</v>
      </c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</row>
    <row r="86" spans="1:61" s="7" customFormat="1" x14ac:dyDescent="0.3">
      <c r="A86" s="7" t="s">
        <v>75</v>
      </c>
      <c r="B86" s="11">
        <v>1177.5096363673756</v>
      </c>
      <c r="C86" s="11">
        <v>6075.6075607560779</v>
      </c>
      <c r="D86" s="11">
        <v>36765.122418227344</v>
      </c>
      <c r="E86" s="10">
        <f t="shared" si="47"/>
        <v>1809.8093483006057</v>
      </c>
      <c r="F86" s="10">
        <f t="shared" si="48"/>
        <v>31827.694209386522</v>
      </c>
      <c r="G86" s="10">
        <f t="shared" si="49"/>
        <v>131088.08097946667</v>
      </c>
      <c r="H86" s="10">
        <f t="shared" si="41"/>
        <v>0.39193002445465985</v>
      </c>
      <c r="I86" s="10">
        <f t="shared" si="42"/>
        <v>2.8936724183627818</v>
      </c>
      <c r="J86" s="10">
        <f t="shared" si="43"/>
        <v>147.76801013079648</v>
      </c>
      <c r="K86" s="10">
        <f t="shared" si="44"/>
        <v>141.90334856329298</v>
      </c>
      <c r="L86" s="10">
        <f t="shared" si="45"/>
        <v>0</v>
      </c>
      <c r="M86" s="10">
        <f t="shared" si="46"/>
        <v>0</v>
      </c>
      <c r="N86" s="5">
        <v>67460.25</v>
      </c>
      <c r="O86" s="11">
        <f t="shared" si="26"/>
        <v>71225</v>
      </c>
      <c r="P86" s="12">
        <v>86</v>
      </c>
      <c r="Q86" s="11">
        <v>43720</v>
      </c>
      <c r="R86" s="7">
        <v>79.3</v>
      </c>
      <c r="S86" s="12"/>
      <c r="T86" s="10">
        <f t="shared" si="27"/>
        <v>0.61382941382941381</v>
      </c>
      <c r="U86" s="10">
        <f t="shared" si="28"/>
        <v>1</v>
      </c>
      <c r="V86" s="10">
        <f t="shared" si="29"/>
        <v>2</v>
      </c>
      <c r="W86" s="10">
        <f t="shared" si="30"/>
        <v>2</v>
      </c>
      <c r="X86" s="10">
        <f t="shared" si="31"/>
        <v>0.92209302325581388</v>
      </c>
      <c r="Y86" s="10">
        <f t="shared" si="32"/>
        <v>1</v>
      </c>
      <c r="Z86" s="10">
        <f t="shared" si="33"/>
        <v>1</v>
      </c>
      <c r="AA86" s="10">
        <f t="shared" si="34"/>
        <v>2</v>
      </c>
      <c r="AB86" s="12"/>
      <c r="AC86" s="10">
        <f t="shared" si="35"/>
        <v>0.61382941382941381</v>
      </c>
      <c r="AD86" s="10">
        <f t="shared" si="36"/>
        <v>0.63923916248930301</v>
      </c>
      <c r="AE86" s="10">
        <f t="shared" si="37"/>
        <v>1.0606906873904742</v>
      </c>
      <c r="AF86" s="10">
        <f t="shared" si="38"/>
        <v>2.4543079112596233</v>
      </c>
      <c r="AG86" s="10">
        <f t="shared" si="39"/>
        <v>0.92209302325581388</v>
      </c>
      <c r="AH86" s="10">
        <f t="shared" si="40"/>
        <v>0.92665034912156585</v>
      </c>
      <c r="AI86" s="10">
        <f t="shared" si="40"/>
        <v>0.95574037695770675</v>
      </c>
      <c r="AJ86" s="10">
        <f t="shared" si="40"/>
        <v>2.6403256991953081</v>
      </c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</row>
    <row r="87" spans="1:61" s="7" customFormat="1" x14ac:dyDescent="0.3">
      <c r="A87" s="7" t="s">
        <v>76</v>
      </c>
      <c r="B87" s="11">
        <v>265.40123554883138</v>
      </c>
      <c r="C87" s="11">
        <v>0</v>
      </c>
      <c r="D87" s="11">
        <v>0</v>
      </c>
      <c r="E87" s="10">
        <f t="shared" si="47"/>
        <v>2.3331473485667917</v>
      </c>
      <c r="F87" s="10">
        <f t="shared" si="48"/>
        <v>47.727576602945632</v>
      </c>
      <c r="G87" s="10">
        <f t="shared" si="49"/>
        <v>426.7733257337444</v>
      </c>
      <c r="H87" s="10">
        <f t="shared" si="41"/>
        <v>1.0382588119264243E-3</v>
      </c>
      <c r="I87" s="10">
        <f t="shared" si="42"/>
        <v>4.0883002415117026E-3</v>
      </c>
      <c r="J87" s="10">
        <f t="shared" si="43"/>
        <v>0.51661999879791876</v>
      </c>
      <c r="K87" s="10">
        <f t="shared" si="44"/>
        <v>0.47772222398789649</v>
      </c>
      <c r="L87" s="10">
        <f t="shared" si="45"/>
        <v>0</v>
      </c>
      <c r="M87" s="10">
        <f t="shared" si="46"/>
        <v>0</v>
      </c>
      <c r="N87" s="5">
        <v>57879.237000000001</v>
      </c>
      <c r="O87" s="11">
        <f t="shared" si="26"/>
        <v>61109.299999999996</v>
      </c>
      <c r="P87" s="12">
        <v>0.18740000000000001</v>
      </c>
      <c r="Q87" s="11">
        <v>10290</v>
      </c>
      <c r="R87" s="7">
        <v>0.90359999999999996</v>
      </c>
      <c r="S87" s="12"/>
      <c r="T87" s="10">
        <f t="shared" si="27"/>
        <v>0.16838680855450808</v>
      </c>
      <c r="U87" s="10">
        <f t="shared" si="28"/>
        <v>1</v>
      </c>
      <c r="V87" s="10">
        <f t="shared" si="29"/>
        <v>1</v>
      </c>
      <c r="W87" s="10">
        <f t="shared" si="30"/>
        <v>1</v>
      </c>
      <c r="X87" s="10">
        <f t="shared" si="31"/>
        <v>4.8217716115261471</v>
      </c>
      <c r="Y87" s="10">
        <f t="shared" si="32"/>
        <v>3</v>
      </c>
      <c r="Z87" s="10">
        <f t="shared" si="33"/>
        <v>3</v>
      </c>
      <c r="AA87" s="10">
        <f t="shared" si="34"/>
        <v>4</v>
      </c>
      <c r="AB87" s="12"/>
      <c r="AC87" s="10">
        <f t="shared" si="35"/>
        <v>0.16838680855450808</v>
      </c>
      <c r="AD87" s="10">
        <f t="shared" si="36"/>
        <v>0.16842498846081641</v>
      </c>
      <c r="AE87" s="10">
        <f t="shared" si="37"/>
        <v>0.16916782840914468</v>
      </c>
      <c r="AF87" s="10">
        <f t="shared" si="38"/>
        <v>0.17537057904007647</v>
      </c>
      <c r="AG87" s="10">
        <f t="shared" si="39"/>
        <v>4.8217716115261471</v>
      </c>
      <c r="AH87" s="10">
        <f t="shared" si="40"/>
        <v>4.8273119467018484</v>
      </c>
      <c r="AI87" s="10">
        <f t="shared" si="40"/>
        <v>4.8435875146291973</v>
      </c>
      <c r="AJ87" s="10">
        <f t="shared" si="40"/>
        <v>7.5785485528170682</v>
      </c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</row>
    <row r="88" spans="1:61" s="7" customFormat="1" x14ac:dyDescent="0.3">
      <c r="A88" s="7" t="s">
        <v>77</v>
      </c>
      <c r="B88" s="11">
        <v>297.02079807144412</v>
      </c>
      <c r="C88" s="11">
        <v>0</v>
      </c>
      <c r="D88" s="11">
        <v>0</v>
      </c>
      <c r="E88" s="10">
        <f t="shared" si="47"/>
        <v>2.6111155287446954</v>
      </c>
      <c r="F88" s="10">
        <f t="shared" si="48"/>
        <v>53.413778814208371</v>
      </c>
      <c r="G88" s="10">
        <f t="shared" si="49"/>
        <v>477.6185519366897</v>
      </c>
      <c r="H88" s="10">
        <f t="shared" si="41"/>
        <v>1.161955634024756E-3</v>
      </c>
      <c r="I88" s="10">
        <f t="shared" si="42"/>
        <v>4.5753750843637716E-3</v>
      </c>
      <c r="J88" s="10">
        <f t="shared" si="43"/>
        <v>0.57816944229859679</v>
      </c>
      <c r="K88" s="10">
        <f t="shared" si="44"/>
        <v>0.53463743652859941</v>
      </c>
      <c r="L88" s="10">
        <f t="shared" si="45"/>
        <v>0</v>
      </c>
      <c r="M88" s="10">
        <f t="shared" si="46"/>
        <v>0</v>
      </c>
      <c r="N88" s="5">
        <v>1750287.6456000002</v>
      </c>
      <c r="O88" s="11">
        <f t="shared" si="26"/>
        <v>1847965.84</v>
      </c>
      <c r="P88" s="12">
        <v>21.682000000000002</v>
      </c>
      <c r="Q88" s="11">
        <v>2140032</v>
      </c>
      <c r="R88" s="7">
        <v>23.542000000000002</v>
      </c>
      <c r="S88" s="12"/>
      <c r="T88" s="10">
        <f t="shared" si="27"/>
        <v>1.158047380356338</v>
      </c>
      <c r="U88" s="10">
        <f t="shared" si="28"/>
        <v>3</v>
      </c>
      <c r="V88" s="10">
        <f t="shared" si="29"/>
        <v>3</v>
      </c>
      <c r="W88" s="10">
        <f t="shared" si="30"/>
        <v>3</v>
      </c>
      <c r="X88" s="10">
        <f t="shared" si="31"/>
        <v>1.0857854441472188</v>
      </c>
      <c r="Y88" s="10">
        <f t="shared" si="32"/>
        <v>3</v>
      </c>
      <c r="Z88" s="10">
        <f t="shared" si="33"/>
        <v>3</v>
      </c>
      <c r="AA88" s="10">
        <f t="shared" si="34"/>
        <v>3</v>
      </c>
      <c r="AB88" s="12"/>
      <c r="AC88" s="10">
        <f t="shared" si="35"/>
        <v>1.158047380356338</v>
      </c>
      <c r="AD88" s="10">
        <f t="shared" si="36"/>
        <v>1.15804879332376</v>
      </c>
      <c r="AE88" s="10">
        <f t="shared" si="37"/>
        <v>1.1580762844505903</v>
      </c>
      <c r="AF88" s="10">
        <f t="shared" si="38"/>
        <v>1.1583058367312333</v>
      </c>
      <c r="AG88" s="10">
        <f t="shared" si="39"/>
        <v>1.0857854441472188</v>
      </c>
      <c r="AH88" s="10">
        <f t="shared" si="40"/>
        <v>1.0858390349429954</v>
      </c>
      <c r="AI88" s="10">
        <f t="shared" si="40"/>
        <v>1.0859964659664405</v>
      </c>
      <c r="AJ88" s="10">
        <f t="shared" si="40"/>
        <v>1.1124513164052483</v>
      </c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</row>
    <row r="89" spans="1:61" s="7" customFormat="1" x14ac:dyDescent="0.3">
      <c r="A89" s="7" t="s">
        <v>78</v>
      </c>
      <c r="B89" s="11">
        <v>0</v>
      </c>
      <c r="C89" s="11">
        <v>0</v>
      </c>
      <c r="D89" s="11">
        <v>18.694130043166446</v>
      </c>
      <c r="E89" s="10">
        <f t="shared" si="47"/>
        <v>0.8544976547364127</v>
      </c>
      <c r="F89" s="10">
        <f t="shared" si="48"/>
        <v>15.415743728969105</v>
      </c>
      <c r="G89" s="10">
        <f t="shared" si="49"/>
        <v>59.446324054246965</v>
      </c>
      <c r="H89" s="10">
        <f t="shared" si="41"/>
        <v>1.8075374902280683E-4</v>
      </c>
      <c r="I89" s="10">
        <f t="shared" si="42"/>
        <v>1.3976057365487236E-3</v>
      </c>
      <c r="J89" s="10">
        <f t="shared" si="43"/>
        <v>6.6451392576730897E-2</v>
      </c>
      <c r="K89" s="10">
        <f t="shared" si="44"/>
        <v>6.46816899493559E-2</v>
      </c>
      <c r="L89" s="10">
        <f t="shared" si="45"/>
        <v>0</v>
      </c>
      <c r="M89" s="10">
        <f t="shared" si="46"/>
        <v>0</v>
      </c>
      <c r="N89" s="5">
        <v>345952.80330000003</v>
      </c>
      <c r="O89" s="11">
        <f t="shared" si="26"/>
        <v>365259.37</v>
      </c>
      <c r="P89" s="12">
        <v>6.1400000000000006</v>
      </c>
      <c r="Q89" s="11">
        <v>276300</v>
      </c>
      <c r="R89" s="7">
        <v>4.032</v>
      </c>
      <c r="S89" s="12"/>
      <c r="T89" s="10">
        <f t="shared" si="27"/>
        <v>0.75644876680370998</v>
      </c>
      <c r="U89" s="10">
        <f t="shared" si="28"/>
        <v>1</v>
      </c>
      <c r="V89" s="10">
        <f t="shared" si="29"/>
        <v>1</v>
      </c>
      <c r="W89" s="10">
        <f t="shared" si="30"/>
        <v>1</v>
      </c>
      <c r="X89" s="10">
        <f t="shared" si="31"/>
        <v>0.65667752442996741</v>
      </c>
      <c r="Y89" s="10">
        <f t="shared" si="32"/>
        <v>1</v>
      </c>
      <c r="Z89" s="10">
        <f t="shared" si="33"/>
        <v>1</v>
      </c>
      <c r="AA89" s="10">
        <f t="shared" si="34"/>
        <v>1</v>
      </c>
      <c r="AB89" s="12"/>
      <c r="AC89" s="10">
        <f t="shared" si="35"/>
        <v>0.75644876680370998</v>
      </c>
      <c r="AD89" s="10">
        <f t="shared" si="36"/>
        <v>0.75645110623077161</v>
      </c>
      <c r="AE89" s="10">
        <f t="shared" si="37"/>
        <v>0.75649097172710167</v>
      </c>
      <c r="AF89" s="10">
        <f t="shared" si="38"/>
        <v>0.75661151779365521</v>
      </c>
      <c r="AG89" s="10">
        <f t="shared" si="39"/>
        <v>0.65667752442996741</v>
      </c>
      <c r="AH89" s="10">
        <f t="shared" si="40"/>
        <v>0.65670696315130661</v>
      </c>
      <c r="AI89" s="10">
        <f t="shared" si="40"/>
        <v>0.65690514751409579</v>
      </c>
      <c r="AJ89" s="10">
        <f t="shared" si="40"/>
        <v>0.66750022680402776</v>
      </c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</row>
    <row r="90" spans="1:61" s="7" customFormat="1" x14ac:dyDescent="0.3">
      <c r="A90" s="7" t="s">
        <v>79</v>
      </c>
      <c r="B90" s="11">
        <v>821.55327945529893</v>
      </c>
      <c r="C90" s="11">
        <v>0</v>
      </c>
      <c r="D90" s="11">
        <v>11839.615694005415</v>
      </c>
      <c r="E90" s="10">
        <f t="shared" si="47"/>
        <v>548.4041386258574</v>
      </c>
      <c r="F90" s="10">
        <f t="shared" si="48"/>
        <v>9911.0457502897152</v>
      </c>
      <c r="G90" s="10">
        <f t="shared" si="49"/>
        <v>38970.421435354438</v>
      </c>
      <c r="H90" s="10">
        <f t="shared" si="41"/>
        <v>0.11769131922239102</v>
      </c>
      <c r="I90" s="10">
        <f t="shared" si="42"/>
        <v>0.89780569105178754</v>
      </c>
      <c r="J90" s="10">
        <f t="shared" si="43"/>
        <v>43.685086480520447</v>
      </c>
      <c r="K90" s="10">
        <f t="shared" si="44"/>
        <v>42.443866204278272</v>
      </c>
      <c r="L90" s="10">
        <f t="shared" si="45"/>
        <v>0</v>
      </c>
      <c r="M90" s="10">
        <f t="shared" si="46"/>
        <v>0</v>
      </c>
      <c r="N90" s="5">
        <v>11773.2225</v>
      </c>
      <c r="O90" s="11">
        <f t="shared" si="26"/>
        <v>12430.25</v>
      </c>
      <c r="P90" s="12">
        <v>4.0000000000000001E-3</v>
      </c>
      <c r="Q90" s="11">
        <v>1500</v>
      </c>
      <c r="R90" s="7">
        <v>0.77010000000000001</v>
      </c>
      <c r="S90" s="12"/>
      <c r="T90" s="10">
        <f t="shared" si="27"/>
        <v>0.12067335733392329</v>
      </c>
      <c r="U90" s="10">
        <f t="shared" si="28"/>
        <v>1</v>
      </c>
      <c r="V90" s="10">
        <f t="shared" si="29"/>
        <v>1</v>
      </c>
      <c r="W90" s="10">
        <f t="shared" si="30"/>
        <v>2</v>
      </c>
      <c r="X90" s="10">
        <f t="shared" si="31"/>
        <v>192.52500000000001</v>
      </c>
      <c r="Y90" s="10">
        <f t="shared" si="32"/>
        <v>4</v>
      </c>
      <c r="Z90" s="10">
        <f t="shared" si="33"/>
        <v>5</v>
      </c>
      <c r="AA90" s="10">
        <f t="shared" si="34"/>
        <v>5</v>
      </c>
      <c r="AB90" s="12"/>
      <c r="AC90" s="10">
        <f t="shared" si="35"/>
        <v>0.12067335733392329</v>
      </c>
      <c r="AD90" s="10">
        <f t="shared" si="36"/>
        <v>0.16479186972312362</v>
      </c>
      <c r="AE90" s="10">
        <f t="shared" si="37"/>
        <v>0.91800613425230504</v>
      </c>
      <c r="AF90" s="10">
        <f t="shared" si="38"/>
        <v>3.2558010848819965</v>
      </c>
      <c r="AG90" s="10">
        <f t="shared" si="39"/>
        <v>192.52500000000001</v>
      </c>
      <c r="AH90" s="10">
        <f t="shared" si="40"/>
        <v>221.94782980559776</v>
      </c>
      <c r="AI90" s="10">
        <f t="shared" si="40"/>
        <v>416.97642276294687</v>
      </c>
      <c r="AJ90" s="10">
        <f t="shared" si="40"/>
        <v>11113.796620130111</v>
      </c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</row>
    <row r="91" spans="1:61" s="7" customFormat="1" x14ac:dyDescent="0.3">
      <c r="A91" s="7" t="s">
        <v>80</v>
      </c>
      <c r="B91" s="11">
        <v>0</v>
      </c>
      <c r="C91" s="11">
        <v>0</v>
      </c>
      <c r="D91" s="11">
        <v>0</v>
      </c>
      <c r="E91" s="10">
        <f t="shared" si="47"/>
        <v>0</v>
      </c>
      <c r="F91" s="10">
        <f t="shared" si="48"/>
        <v>0</v>
      </c>
      <c r="G91" s="10">
        <f t="shared" si="49"/>
        <v>0</v>
      </c>
      <c r="H91" s="10">
        <f t="shared" si="41"/>
        <v>0</v>
      </c>
      <c r="I91" s="10">
        <f t="shared" si="42"/>
        <v>0</v>
      </c>
      <c r="J91" s="10">
        <f t="shared" si="43"/>
        <v>0</v>
      </c>
      <c r="K91" s="10">
        <f t="shared" si="44"/>
        <v>0</v>
      </c>
      <c r="L91" s="10">
        <f t="shared" si="45"/>
        <v>0</v>
      </c>
      <c r="M91" s="10">
        <f t="shared" si="46"/>
        <v>0</v>
      </c>
      <c r="N91" s="5">
        <v>113039.6436</v>
      </c>
      <c r="O91" s="11">
        <f t="shared" si="26"/>
        <v>119348.03999999998</v>
      </c>
      <c r="P91" s="12">
        <v>4.7236000000000002</v>
      </c>
      <c r="Q91" s="11">
        <v>103678</v>
      </c>
      <c r="R91" s="7">
        <v>7.7069999999999999</v>
      </c>
      <c r="S91" s="12"/>
      <c r="T91" s="10">
        <f t="shared" si="27"/>
        <v>0.86870299671448326</v>
      </c>
      <c r="U91" s="10">
        <f t="shared" si="28"/>
        <v>1</v>
      </c>
      <c r="V91" s="10">
        <f t="shared" si="29"/>
        <v>1</v>
      </c>
      <c r="W91" s="10">
        <f t="shared" si="30"/>
        <v>1</v>
      </c>
      <c r="X91" s="10">
        <f t="shared" si="31"/>
        <v>1.6315945465323058</v>
      </c>
      <c r="Y91" s="10">
        <f t="shared" si="32"/>
        <v>3</v>
      </c>
      <c r="Z91" s="10">
        <f t="shared" si="33"/>
        <v>3</v>
      </c>
      <c r="AA91" s="10">
        <f t="shared" si="34"/>
        <v>3</v>
      </c>
      <c r="AB91" s="12"/>
      <c r="AC91" s="10">
        <f t="shared" si="35"/>
        <v>0.86870299671448326</v>
      </c>
      <c r="AD91" s="10">
        <f t="shared" si="36"/>
        <v>0.86870299671448326</v>
      </c>
      <c r="AE91" s="10">
        <f t="shared" si="37"/>
        <v>0.86870299671448326</v>
      </c>
      <c r="AF91" s="10">
        <f t="shared" si="38"/>
        <v>0.86870299671448326</v>
      </c>
      <c r="AG91" s="10">
        <f t="shared" si="39"/>
        <v>1.6315945465323058</v>
      </c>
      <c r="AH91" s="10">
        <f t="shared" si="40"/>
        <v>1.6315945465323058</v>
      </c>
      <c r="AI91" s="10">
        <f t="shared" si="40"/>
        <v>1.6315945465323058</v>
      </c>
      <c r="AJ91" s="10">
        <f t="shared" si="40"/>
        <v>1.6315945465323058</v>
      </c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</row>
    <row r="92" spans="1:61" s="7" customFormat="1" x14ac:dyDescent="0.3">
      <c r="A92" s="7" t="s">
        <v>216</v>
      </c>
      <c r="B92" s="11">
        <v>0</v>
      </c>
      <c r="C92" s="11">
        <v>0</v>
      </c>
      <c r="D92" s="11">
        <v>0</v>
      </c>
      <c r="E92" s="10">
        <f t="shared" ref="E92" si="50">$B92/1000*AO$2+$C92/1000*AO$3+$D92/1000*AO$4</f>
        <v>0</v>
      </c>
      <c r="F92" s="10">
        <f t="shared" ref="F92" si="51">$B92/1000*AP$2+$C92/1000*AP$3+$D92/1000*AP$4</f>
        <v>0</v>
      </c>
      <c r="G92" s="10">
        <f t="shared" ref="G92" si="52">$B92/1000*AQ$2+$C92/1000*AQ$3+$D92/1000*AQ$4</f>
        <v>0</v>
      </c>
      <c r="H92" s="10">
        <f t="shared" ref="H92" si="53">($B92/1000*AO$5+$C92/1000*AO$6+$D92/1000*AO$7)/1000</f>
        <v>0</v>
      </c>
      <c r="I92" s="10">
        <f t="shared" ref="I92" si="54">($B92/1000*AP$5+$C92/1000*AP$6+$D92/1000*AP$7)/1000</f>
        <v>0</v>
      </c>
      <c r="J92" s="10">
        <f t="shared" ref="J92" si="55">($B92/1000*AQ$5+$C92/1000*AQ$6+$D92/1000*AQ$7)/1000</f>
        <v>0</v>
      </c>
      <c r="K92" s="10">
        <f t="shared" ref="K92" si="56">$B92/1000*AO$8+$C92/1000*AO$9+$D92/1000*AO$10</f>
        <v>0</v>
      </c>
      <c r="L92" s="10">
        <f t="shared" ref="L92" si="57">$B92/1000*AP$8+$C92/1000*AP$9+$D92/1000*AP$10</f>
        <v>0</v>
      </c>
      <c r="M92" s="10">
        <f t="shared" ref="M92" si="58">$B92/1000*AQ$8+$C92/1000*AQ$9+$D92/1000*AQ$10</f>
        <v>0</v>
      </c>
      <c r="N92" s="5">
        <v>24210.832564285716</v>
      </c>
      <c r="O92" s="11">
        <v>25561.965</v>
      </c>
      <c r="P92" s="29">
        <v>66.7</v>
      </c>
      <c r="Q92" s="12">
        <v>2029</v>
      </c>
      <c r="R92" s="7">
        <v>7.32</v>
      </c>
      <c r="S92" s="12"/>
      <c r="T92" s="10">
        <f t="shared" si="27"/>
        <v>7.9375744392107567E-2</v>
      </c>
      <c r="U92" s="10">
        <f t="shared" si="28"/>
        <v>1</v>
      </c>
      <c r="V92" s="10">
        <f t="shared" si="29"/>
        <v>1</v>
      </c>
      <c r="W92" s="10">
        <f t="shared" si="30"/>
        <v>1</v>
      </c>
      <c r="X92" s="10">
        <f t="shared" si="31"/>
        <v>0.10974512743628186</v>
      </c>
      <c r="Y92" s="10">
        <f t="shared" si="32"/>
        <v>1</v>
      </c>
      <c r="Z92" s="10">
        <f t="shared" si="33"/>
        <v>1</v>
      </c>
      <c r="AA92" s="10">
        <f t="shared" si="34"/>
        <v>1</v>
      </c>
      <c r="AB92" s="12"/>
      <c r="AC92" s="10">
        <f t="shared" ref="AC92:AC93" si="59">Q92/O92</f>
        <v>7.9375744392107567E-2</v>
      </c>
      <c r="AD92" s="10">
        <f t="shared" ref="AD92:AD93" si="60">IF($O92&gt;0.001,($Q92+E92)/$O92,IF(E92&lt;0.001,0,10))</f>
        <v>7.9375744392107567E-2</v>
      </c>
      <c r="AE92" s="10">
        <f t="shared" ref="AE92:AE93" si="61">IF($O92&gt;0.001,($Q92+F92)/$O92,IF(F92&lt;0.001,0,10))</f>
        <v>7.9375744392107567E-2</v>
      </c>
      <c r="AF92" s="10">
        <f t="shared" ref="AF92:AF93" si="62">IF($O92&gt;0.001,($Q92+G92)/$O92,IF(G92&lt;0.001,0,10))</f>
        <v>7.9375744392107567E-2</v>
      </c>
      <c r="AG92" s="10">
        <f t="shared" ref="AG92:AG93" si="63">R92/P92</f>
        <v>0.10974512743628186</v>
      </c>
      <c r="AH92" s="10">
        <f t="shared" ref="AH92:AH93" si="64">IF($P92&gt;0.001,($R92+H92)/$P92,IF(H92&lt;0.001,0,10))</f>
        <v>0.10974512743628186</v>
      </c>
      <c r="AI92" s="10">
        <f t="shared" ref="AI92:AI93" si="65">IF($P92&gt;0.001,($R92+I92)/$P92,IF(I92&lt;0.001,0,10))</f>
        <v>0.10974512743628186</v>
      </c>
      <c r="AJ92" s="10">
        <f t="shared" ref="AJ92:AJ93" si="66">IF($P92&gt;0.001,($R92+J92)/$P92,IF(J92&lt;0.001,0,10))</f>
        <v>0.10974512743628186</v>
      </c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</row>
    <row r="93" spans="1:61" s="7" customFormat="1" x14ac:dyDescent="0.3">
      <c r="A93" s="7" t="s">
        <v>81</v>
      </c>
      <c r="B93" s="11">
        <v>0</v>
      </c>
      <c r="C93" s="11">
        <v>0</v>
      </c>
      <c r="D93" s="11">
        <v>0</v>
      </c>
      <c r="E93" s="10">
        <f t="shared" si="47"/>
        <v>0</v>
      </c>
      <c r="F93" s="10">
        <f t="shared" si="48"/>
        <v>0</v>
      </c>
      <c r="G93" s="10">
        <f t="shared" si="49"/>
        <v>0</v>
      </c>
      <c r="H93" s="10">
        <f t="shared" si="41"/>
        <v>0</v>
      </c>
      <c r="I93" s="10">
        <f t="shared" si="42"/>
        <v>0</v>
      </c>
      <c r="J93" s="10">
        <f t="shared" si="43"/>
        <v>0</v>
      </c>
      <c r="K93" s="10">
        <f t="shared" si="44"/>
        <v>0</v>
      </c>
      <c r="L93" s="10">
        <f t="shared" si="45"/>
        <v>0</v>
      </c>
      <c r="M93" s="10">
        <f t="shared" si="46"/>
        <v>0</v>
      </c>
      <c r="N93" s="5">
        <v>17073.6423</v>
      </c>
      <c r="O93" s="11">
        <f t="shared" si="26"/>
        <v>18026.469999999998</v>
      </c>
      <c r="P93" s="12">
        <v>6.9879999999999995</v>
      </c>
      <c r="Q93" s="11">
        <v>19690</v>
      </c>
      <c r="R93" s="7">
        <v>0.18334919199999999</v>
      </c>
      <c r="S93" s="12"/>
      <c r="T93" s="10">
        <f t="shared" si="27"/>
        <v>1.0922826266040995</v>
      </c>
      <c r="U93" s="10">
        <f t="shared" si="28"/>
        <v>3</v>
      </c>
      <c r="V93" s="10">
        <f t="shared" si="29"/>
        <v>3</v>
      </c>
      <c r="W93" s="10">
        <f t="shared" si="30"/>
        <v>3</v>
      </c>
      <c r="X93" s="10">
        <f t="shared" si="31"/>
        <v>2.623772066399542E-2</v>
      </c>
      <c r="Y93" s="10">
        <f t="shared" si="32"/>
        <v>1</v>
      </c>
      <c r="Z93" s="10">
        <f t="shared" si="33"/>
        <v>1</v>
      </c>
      <c r="AA93" s="10">
        <f t="shared" si="34"/>
        <v>1</v>
      </c>
      <c r="AB93" s="12"/>
      <c r="AC93" s="10">
        <f t="shared" si="59"/>
        <v>1.0922826266040995</v>
      </c>
      <c r="AD93" s="10">
        <f t="shared" si="60"/>
        <v>1.0922826266040995</v>
      </c>
      <c r="AE93" s="10">
        <f t="shared" si="61"/>
        <v>1.0922826266040995</v>
      </c>
      <c r="AF93" s="10">
        <f t="shared" si="62"/>
        <v>1.0922826266040995</v>
      </c>
      <c r="AG93" s="10">
        <f t="shared" si="63"/>
        <v>2.623772066399542E-2</v>
      </c>
      <c r="AH93" s="10">
        <f t="shared" si="64"/>
        <v>2.623772066399542E-2</v>
      </c>
      <c r="AI93" s="10">
        <f t="shared" si="65"/>
        <v>2.623772066399542E-2</v>
      </c>
      <c r="AJ93" s="10">
        <f t="shared" si="66"/>
        <v>2.623772066399542E-2</v>
      </c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</row>
    <row r="94" spans="1:61" s="7" customFormat="1" x14ac:dyDescent="0.3">
      <c r="A94" s="7" t="s">
        <v>82</v>
      </c>
      <c r="B94" s="11">
        <v>0</v>
      </c>
      <c r="C94" s="11">
        <v>0</v>
      </c>
      <c r="D94" s="11">
        <v>0</v>
      </c>
      <c r="E94" s="10">
        <f t="shared" si="47"/>
        <v>0</v>
      </c>
      <c r="F94" s="10">
        <f t="shared" si="48"/>
        <v>0</v>
      </c>
      <c r="G94" s="10">
        <f t="shared" si="49"/>
        <v>0</v>
      </c>
      <c r="H94" s="10">
        <f t="shared" si="41"/>
        <v>0</v>
      </c>
      <c r="I94" s="10">
        <f t="shared" si="42"/>
        <v>0</v>
      </c>
      <c r="J94" s="10">
        <f t="shared" si="43"/>
        <v>0</v>
      </c>
      <c r="K94" s="10">
        <f t="shared" si="44"/>
        <v>0</v>
      </c>
      <c r="L94" s="10">
        <f t="shared" si="45"/>
        <v>0</v>
      </c>
      <c r="M94" s="10">
        <f t="shared" si="46"/>
        <v>0</v>
      </c>
      <c r="N94" s="5">
        <v>5686.3520999999992</v>
      </c>
      <c r="O94" s="11">
        <f t="shared" si="26"/>
        <v>6003.6899999999987</v>
      </c>
      <c r="P94" s="12">
        <v>0.90060000000000007</v>
      </c>
      <c r="Q94" s="11">
        <v>6696.7</v>
      </c>
      <c r="R94" s="7">
        <v>1.8120000000000001</v>
      </c>
      <c r="S94" s="12"/>
      <c r="T94" s="10">
        <f t="shared" si="27"/>
        <v>1.1154306768004345</v>
      </c>
      <c r="U94" s="10">
        <f t="shared" si="28"/>
        <v>3</v>
      </c>
      <c r="V94" s="10">
        <f t="shared" si="29"/>
        <v>3</v>
      </c>
      <c r="W94" s="10">
        <f t="shared" si="30"/>
        <v>3</v>
      </c>
      <c r="X94" s="10">
        <f t="shared" si="31"/>
        <v>2.01199200532978</v>
      </c>
      <c r="Y94" s="10">
        <f t="shared" si="32"/>
        <v>3</v>
      </c>
      <c r="Z94" s="10">
        <f t="shared" si="33"/>
        <v>3</v>
      </c>
      <c r="AA94" s="10">
        <f t="shared" si="34"/>
        <v>3</v>
      </c>
      <c r="AB94" s="12"/>
      <c r="AC94" s="10">
        <f t="shared" si="35"/>
        <v>1.1154306768004345</v>
      </c>
      <c r="AD94" s="10">
        <f t="shared" si="36"/>
        <v>1.1154306768004345</v>
      </c>
      <c r="AE94" s="10">
        <f t="shared" si="37"/>
        <v>1.1154306768004345</v>
      </c>
      <c r="AF94" s="10">
        <f t="shared" si="38"/>
        <v>1.1154306768004345</v>
      </c>
      <c r="AG94" s="10">
        <f t="shared" si="39"/>
        <v>2.01199200532978</v>
      </c>
      <c r="AH94" s="10">
        <f t="shared" si="40"/>
        <v>2.01199200532978</v>
      </c>
      <c r="AI94" s="10">
        <f t="shared" si="40"/>
        <v>2.01199200532978</v>
      </c>
      <c r="AJ94" s="10">
        <f t="shared" si="40"/>
        <v>2.01199200532978</v>
      </c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</row>
    <row r="95" spans="1:61" s="7" customFormat="1" x14ac:dyDescent="0.3">
      <c r="A95" s="7" t="s">
        <v>198</v>
      </c>
      <c r="B95" s="11">
        <v>0</v>
      </c>
      <c r="C95" s="11">
        <v>0</v>
      </c>
      <c r="D95" s="11">
        <v>0</v>
      </c>
      <c r="E95" s="10">
        <f t="shared" si="47"/>
        <v>0</v>
      </c>
      <c r="F95" s="10">
        <f t="shared" si="48"/>
        <v>0</v>
      </c>
      <c r="G95" s="10">
        <f t="shared" si="49"/>
        <v>0</v>
      </c>
      <c r="H95" s="10">
        <f t="shared" si="41"/>
        <v>0</v>
      </c>
      <c r="I95" s="10">
        <f t="shared" si="42"/>
        <v>0</v>
      </c>
      <c r="J95" s="10">
        <f t="shared" si="43"/>
        <v>0</v>
      </c>
      <c r="K95" s="10">
        <f t="shared" si="44"/>
        <v>0</v>
      </c>
      <c r="L95" s="10">
        <f t="shared" si="45"/>
        <v>0</v>
      </c>
      <c r="M95" s="10">
        <f t="shared" si="46"/>
        <v>0</v>
      </c>
      <c r="N95" s="5">
        <v>19899.812399999999</v>
      </c>
      <c r="O95" s="11">
        <f t="shared" si="26"/>
        <v>21010.359999999997</v>
      </c>
      <c r="P95" s="12">
        <v>0.60440000000000005</v>
      </c>
      <c r="Q95" s="11">
        <v>26000</v>
      </c>
      <c r="R95" s="7">
        <v>4.3799999999999999E-2</v>
      </c>
      <c r="S95" s="12"/>
      <c r="T95" s="10">
        <f t="shared" si="27"/>
        <v>1.2374847456207321</v>
      </c>
      <c r="U95" s="10">
        <f t="shared" si="28"/>
        <v>3</v>
      </c>
      <c r="V95" s="10">
        <f t="shared" si="29"/>
        <v>3</v>
      </c>
      <c r="W95" s="10">
        <f t="shared" si="30"/>
        <v>3</v>
      </c>
      <c r="X95" s="10">
        <f t="shared" si="31"/>
        <v>7.2468563864990065E-2</v>
      </c>
      <c r="Y95" s="10">
        <f t="shared" si="32"/>
        <v>1</v>
      </c>
      <c r="Z95" s="10">
        <f t="shared" si="33"/>
        <v>1</v>
      </c>
      <c r="AA95" s="10">
        <f t="shared" si="34"/>
        <v>1</v>
      </c>
      <c r="AB95" s="12"/>
      <c r="AC95" s="10">
        <f t="shared" si="35"/>
        <v>1.2374847456207321</v>
      </c>
      <c r="AD95" s="10">
        <f t="shared" si="36"/>
        <v>1.2374847456207321</v>
      </c>
      <c r="AE95" s="10">
        <f t="shared" si="37"/>
        <v>1.2374847456207321</v>
      </c>
      <c r="AF95" s="10">
        <f t="shared" si="38"/>
        <v>1.2374847456207321</v>
      </c>
      <c r="AG95" s="10">
        <f t="shared" si="39"/>
        <v>7.2468563864990065E-2</v>
      </c>
      <c r="AH95" s="10">
        <f t="shared" si="40"/>
        <v>7.2468563864990065E-2</v>
      </c>
      <c r="AI95" s="10">
        <f t="shared" si="40"/>
        <v>7.2468563864990065E-2</v>
      </c>
      <c r="AJ95" s="10">
        <f t="shared" si="40"/>
        <v>7.2468563864990065E-2</v>
      </c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</row>
    <row r="96" spans="1:61" s="7" customFormat="1" x14ac:dyDescent="0.3">
      <c r="A96" s="7" t="s">
        <v>199</v>
      </c>
      <c r="B96" s="11">
        <v>0</v>
      </c>
      <c r="C96" s="11">
        <v>0</v>
      </c>
      <c r="D96" s="11">
        <v>0</v>
      </c>
      <c r="E96" s="10">
        <f t="shared" si="47"/>
        <v>0</v>
      </c>
      <c r="F96" s="10">
        <f t="shared" si="48"/>
        <v>0</v>
      </c>
      <c r="G96" s="10">
        <f t="shared" si="49"/>
        <v>0</v>
      </c>
      <c r="H96" s="10">
        <f t="shared" si="41"/>
        <v>0</v>
      </c>
      <c r="I96" s="10">
        <f t="shared" si="42"/>
        <v>0</v>
      </c>
      <c r="J96" s="10">
        <f t="shared" si="43"/>
        <v>0</v>
      </c>
      <c r="K96" s="10">
        <f t="shared" si="44"/>
        <v>0</v>
      </c>
      <c r="L96" s="10">
        <f t="shared" si="45"/>
        <v>0</v>
      </c>
      <c r="M96" s="10">
        <f t="shared" si="46"/>
        <v>0</v>
      </c>
      <c r="N96" s="5">
        <v>3378.382800000003</v>
      </c>
      <c r="O96" s="11">
        <f t="shared" si="26"/>
        <v>3566.9200000000028</v>
      </c>
      <c r="P96" s="12">
        <v>46.400000000000006</v>
      </c>
      <c r="Q96" s="11">
        <v>19540.400000000001</v>
      </c>
      <c r="R96" s="7">
        <v>0.1459</v>
      </c>
      <c r="S96" s="12"/>
      <c r="T96" s="10">
        <f t="shared" si="27"/>
        <v>5.4782277146669918</v>
      </c>
      <c r="U96" s="10">
        <f t="shared" si="28"/>
        <v>3</v>
      </c>
      <c r="V96" s="10">
        <f t="shared" si="29"/>
        <v>3</v>
      </c>
      <c r="W96" s="10">
        <f t="shared" si="30"/>
        <v>3</v>
      </c>
      <c r="X96" s="10">
        <f t="shared" si="31"/>
        <v>3.1443965517241376E-3</v>
      </c>
      <c r="Y96" s="10">
        <f t="shared" si="32"/>
        <v>1</v>
      </c>
      <c r="Z96" s="10">
        <f t="shared" si="33"/>
        <v>1</v>
      </c>
      <c r="AA96" s="10">
        <f t="shared" si="34"/>
        <v>1</v>
      </c>
      <c r="AB96" s="12"/>
      <c r="AC96" s="10">
        <f t="shared" si="35"/>
        <v>5.4782277146669918</v>
      </c>
      <c r="AD96" s="10">
        <f t="shared" si="36"/>
        <v>5.4782277146669918</v>
      </c>
      <c r="AE96" s="10">
        <f t="shared" si="37"/>
        <v>5.4782277146669918</v>
      </c>
      <c r="AF96" s="10">
        <f t="shared" si="38"/>
        <v>5.4782277146669918</v>
      </c>
      <c r="AG96" s="10">
        <f t="shared" si="39"/>
        <v>3.1443965517241376E-3</v>
      </c>
      <c r="AH96" s="10">
        <f t="shared" si="40"/>
        <v>3.1443965517241376E-3</v>
      </c>
      <c r="AI96" s="10">
        <f t="shared" si="40"/>
        <v>3.1443965517241376E-3</v>
      </c>
      <c r="AJ96" s="10">
        <f t="shared" si="40"/>
        <v>3.1443965517241376E-3</v>
      </c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</row>
    <row r="97" spans="1:61" s="7" customFormat="1" x14ac:dyDescent="0.3">
      <c r="A97" s="7" t="s">
        <v>83</v>
      </c>
      <c r="B97" s="11">
        <v>328.92169689343785</v>
      </c>
      <c r="C97" s="11">
        <v>0</v>
      </c>
      <c r="D97" s="11">
        <v>0</v>
      </c>
      <c r="E97" s="10">
        <f t="shared" si="47"/>
        <v>2.8915569417227367</v>
      </c>
      <c r="F97" s="10">
        <f t="shared" si="48"/>
        <v>59.150574232967415</v>
      </c>
      <c r="G97" s="10">
        <f t="shared" si="49"/>
        <v>528.91617553668618</v>
      </c>
      <c r="H97" s="10">
        <f t="shared" si="41"/>
        <v>1.2867530534558132E-3</v>
      </c>
      <c r="I97" s="10">
        <f t="shared" si="42"/>
        <v>5.0667836947596388E-3</v>
      </c>
      <c r="J97" s="10">
        <f t="shared" si="43"/>
        <v>0.6402665243901331</v>
      </c>
      <c r="K97" s="10">
        <f t="shared" si="44"/>
        <v>0.59205905440818818</v>
      </c>
      <c r="L97" s="10">
        <f t="shared" si="45"/>
        <v>0</v>
      </c>
      <c r="M97" s="10">
        <f t="shared" si="46"/>
        <v>0</v>
      </c>
      <c r="N97" s="5">
        <v>1165136.31</v>
      </c>
      <c r="O97" s="11">
        <f t="shared" si="26"/>
        <v>1230159</v>
      </c>
      <c r="P97" s="12">
        <v>0.13999999999999999</v>
      </c>
      <c r="Q97" s="11">
        <v>153500</v>
      </c>
      <c r="R97" s="7">
        <v>5.72</v>
      </c>
      <c r="S97" s="12"/>
      <c r="T97" s="10">
        <f t="shared" si="27"/>
        <v>0.12478061779005803</v>
      </c>
      <c r="U97" s="10">
        <f t="shared" si="28"/>
        <v>1</v>
      </c>
      <c r="V97" s="10">
        <f t="shared" si="29"/>
        <v>1</v>
      </c>
      <c r="W97" s="10">
        <f t="shared" si="30"/>
        <v>1</v>
      </c>
      <c r="X97" s="10">
        <f t="shared" si="31"/>
        <v>40.857142857142861</v>
      </c>
      <c r="Y97" s="10">
        <f t="shared" si="32"/>
        <v>3</v>
      </c>
      <c r="Z97" s="10">
        <f t="shared" si="33"/>
        <v>3</v>
      </c>
      <c r="AA97" s="10">
        <f t="shared" si="34"/>
        <v>4</v>
      </c>
      <c r="AB97" s="12"/>
      <c r="AC97" s="10">
        <f t="shared" si="35"/>
        <v>0.12478061779005803</v>
      </c>
      <c r="AD97" s="10">
        <f t="shared" si="36"/>
        <v>0.12478296834550796</v>
      </c>
      <c r="AE97" s="10">
        <f t="shared" si="37"/>
        <v>0.12482870147211293</v>
      </c>
      <c r="AF97" s="10">
        <f t="shared" si="38"/>
        <v>0.12521057536101976</v>
      </c>
      <c r="AG97" s="10">
        <f t="shared" si="39"/>
        <v>40.857142857142861</v>
      </c>
      <c r="AH97" s="10">
        <f t="shared" si="40"/>
        <v>40.866333950381829</v>
      </c>
      <c r="AI97" s="10">
        <f t="shared" si="40"/>
        <v>40.893334169248291</v>
      </c>
      <c r="AJ97" s="10">
        <f t="shared" si="40"/>
        <v>45.430475174215239</v>
      </c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</row>
    <row r="98" spans="1:61" s="7" customFormat="1" x14ac:dyDescent="0.3">
      <c r="A98" s="7" t="s">
        <v>84</v>
      </c>
      <c r="B98" s="11">
        <v>1584.3932850523413</v>
      </c>
      <c r="C98" s="11">
        <v>0</v>
      </c>
      <c r="D98" s="11">
        <v>0</v>
      </c>
      <c r="E98" s="10">
        <f t="shared" si="47"/>
        <v>13.928431736433097</v>
      </c>
      <c r="F98" s="10">
        <f t="shared" si="48"/>
        <v>284.92426467100995</v>
      </c>
      <c r="G98" s="10">
        <f t="shared" si="49"/>
        <v>2547.7529904249063</v>
      </c>
      <c r="H98" s="10">
        <f t="shared" si="41"/>
        <v>6.1982013247258664E-3</v>
      </c>
      <c r="I98" s="10">
        <f t="shared" si="42"/>
        <v>2.4406350017678085E-2</v>
      </c>
      <c r="J98" s="10">
        <f t="shared" si="43"/>
        <v>3.0841199941157376</v>
      </c>
      <c r="K98" s="10">
        <f t="shared" si="44"/>
        <v>2.8519079130942142</v>
      </c>
      <c r="L98" s="10">
        <f t="shared" si="45"/>
        <v>0</v>
      </c>
      <c r="M98" s="10">
        <f t="shared" si="46"/>
        <v>0</v>
      </c>
      <c r="N98" s="5">
        <v>25154.22</v>
      </c>
      <c r="O98" s="11">
        <f t="shared" si="26"/>
        <v>26558</v>
      </c>
      <c r="P98" s="12">
        <v>4.9000000000000004</v>
      </c>
      <c r="Q98" s="11">
        <v>29428</v>
      </c>
      <c r="R98" s="7">
        <v>0.25439000000000001</v>
      </c>
      <c r="S98" s="12"/>
      <c r="T98" s="10">
        <f t="shared" si="27"/>
        <v>1.1080653663679494</v>
      </c>
      <c r="U98" s="10">
        <f t="shared" si="28"/>
        <v>3</v>
      </c>
      <c r="V98" s="10">
        <f t="shared" si="29"/>
        <v>3</v>
      </c>
      <c r="W98" s="10">
        <f t="shared" si="30"/>
        <v>3</v>
      </c>
      <c r="X98" s="10">
        <f t="shared" si="31"/>
        <v>5.191632653061224E-2</v>
      </c>
      <c r="Y98" s="10">
        <f t="shared" si="32"/>
        <v>1</v>
      </c>
      <c r="Z98" s="10">
        <f t="shared" si="33"/>
        <v>1</v>
      </c>
      <c r="AA98" s="10">
        <f t="shared" si="34"/>
        <v>1</v>
      </c>
      <c r="AB98" s="12"/>
      <c r="AC98" s="10">
        <f t="shared" si="35"/>
        <v>1.1080653663679494</v>
      </c>
      <c r="AD98" s="10">
        <f t="shared" si="36"/>
        <v>1.1085898197054158</v>
      </c>
      <c r="AE98" s="10">
        <f t="shared" si="37"/>
        <v>1.1187937444337304</v>
      </c>
      <c r="AF98" s="10">
        <f t="shared" si="38"/>
        <v>1.2039970250178818</v>
      </c>
      <c r="AG98" s="10">
        <f t="shared" si="39"/>
        <v>5.191632653061224E-2</v>
      </c>
      <c r="AH98" s="10">
        <f t="shared" si="40"/>
        <v>5.3181265576474665E-2</v>
      </c>
      <c r="AI98" s="10">
        <f t="shared" si="40"/>
        <v>5.6897214289322061E-2</v>
      </c>
      <c r="AJ98" s="10">
        <f t="shared" si="40"/>
        <v>0.68132857022770144</v>
      </c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</row>
    <row r="99" spans="1:61" s="7" customFormat="1" x14ac:dyDescent="0.3">
      <c r="A99" s="7" t="s">
        <v>85</v>
      </c>
      <c r="B99" s="11">
        <v>0</v>
      </c>
      <c r="C99" s="11">
        <v>0</v>
      </c>
      <c r="D99" s="11">
        <v>0</v>
      </c>
      <c r="E99" s="10">
        <f t="shared" si="47"/>
        <v>0</v>
      </c>
      <c r="F99" s="10">
        <f t="shared" si="48"/>
        <v>0</v>
      </c>
      <c r="G99" s="10">
        <f t="shared" si="49"/>
        <v>0</v>
      </c>
      <c r="H99" s="10">
        <f t="shared" si="41"/>
        <v>0</v>
      </c>
      <c r="I99" s="10">
        <f t="shared" si="42"/>
        <v>0</v>
      </c>
      <c r="J99" s="10">
        <f t="shared" si="43"/>
        <v>0</v>
      </c>
      <c r="K99" s="10">
        <f t="shared" si="44"/>
        <v>0</v>
      </c>
      <c r="L99" s="10">
        <f t="shared" si="45"/>
        <v>0</v>
      </c>
      <c r="M99" s="10">
        <f t="shared" si="46"/>
        <v>0</v>
      </c>
      <c r="N99" s="5">
        <v>1108.4829600000005</v>
      </c>
      <c r="O99" s="11">
        <f t="shared" si="26"/>
        <v>1170.3440000000005</v>
      </c>
      <c r="P99" s="12">
        <v>0.70000000000000007</v>
      </c>
      <c r="Q99" s="11">
        <v>1321.36</v>
      </c>
      <c r="R99" s="7">
        <v>5.2200000000000003E-2</v>
      </c>
      <c r="S99" s="12"/>
      <c r="T99" s="10">
        <f t="shared" si="27"/>
        <v>1.1290355656114777</v>
      </c>
      <c r="U99" s="10">
        <f t="shared" si="28"/>
        <v>3</v>
      </c>
      <c r="V99" s="10">
        <f t="shared" si="29"/>
        <v>3</v>
      </c>
      <c r="W99" s="10">
        <f t="shared" si="30"/>
        <v>3</v>
      </c>
      <c r="X99" s="10">
        <f t="shared" si="31"/>
        <v>7.4571428571428566E-2</v>
      </c>
      <c r="Y99" s="10">
        <f t="shared" si="32"/>
        <v>1</v>
      </c>
      <c r="Z99" s="10">
        <f t="shared" si="33"/>
        <v>1</v>
      </c>
      <c r="AA99" s="10">
        <f t="shared" si="34"/>
        <v>1</v>
      </c>
      <c r="AB99" s="12"/>
      <c r="AC99" s="10">
        <f t="shared" si="35"/>
        <v>1.1290355656114777</v>
      </c>
      <c r="AD99" s="10">
        <f t="shared" si="36"/>
        <v>1.1290355656114777</v>
      </c>
      <c r="AE99" s="10">
        <f t="shared" si="37"/>
        <v>1.1290355656114777</v>
      </c>
      <c r="AF99" s="10">
        <f t="shared" si="38"/>
        <v>1.1290355656114777</v>
      </c>
      <c r="AG99" s="10">
        <f t="shared" si="39"/>
        <v>7.4571428571428566E-2</v>
      </c>
      <c r="AH99" s="10">
        <f t="shared" si="40"/>
        <v>7.4571428571428566E-2</v>
      </c>
      <c r="AI99" s="10">
        <f t="shared" si="40"/>
        <v>7.4571428571428566E-2</v>
      </c>
      <c r="AJ99" s="10">
        <f t="shared" si="40"/>
        <v>7.4571428571428566E-2</v>
      </c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</row>
    <row r="100" spans="1:61" s="7" customFormat="1" x14ac:dyDescent="0.3">
      <c r="A100" s="7" t="s">
        <v>86</v>
      </c>
      <c r="B100" s="11">
        <v>0</v>
      </c>
      <c r="C100" s="11">
        <v>0</v>
      </c>
      <c r="D100" s="11">
        <v>0</v>
      </c>
      <c r="E100" s="10">
        <f t="shared" si="47"/>
        <v>0</v>
      </c>
      <c r="F100" s="10">
        <f t="shared" si="48"/>
        <v>0</v>
      </c>
      <c r="G100" s="10">
        <f t="shared" si="49"/>
        <v>0</v>
      </c>
      <c r="H100" s="10">
        <f t="shared" si="41"/>
        <v>0</v>
      </c>
      <c r="I100" s="10">
        <f t="shared" si="42"/>
        <v>0</v>
      </c>
      <c r="J100" s="10">
        <f t="shared" si="43"/>
        <v>0</v>
      </c>
      <c r="K100" s="10">
        <f t="shared" si="44"/>
        <v>0</v>
      </c>
      <c r="L100" s="10">
        <f t="shared" si="45"/>
        <v>0</v>
      </c>
      <c r="M100" s="10">
        <f t="shared" si="46"/>
        <v>0</v>
      </c>
      <c r="N100" s="5">
        <v>299680.57470000006</v>
      </c>
      <c r="O100" s="11">
        <f t="shared" si="26"/>
        <v>316404.83</v>
      </c>
      <c r="P100" s="12">
        <v>67.400000000000006</v>
      </c>
      <c r="Q100" s="11">
        <v>408950</v>
      </c>
      <c r="R100" s="7">
        <v>13.4575</v>
      </c>
      <c r="S100" s="12"/>
      <c r="T100" s="10">
        <f t="shared" si="27"/>
        <v>1.292489751183634</v>
      </c>
      <c r="U100" s="10">
        <f t="shared" si="28"/>
        <v>3</v>
      </c>
      <c r="V100" s="10">
        <f t="shared" si="29"/>
        <v>3</v>
      </c>
      <c r="W100" s="10">
        <f t="shared" si="30"/>
        <v>3</v>
      </c>
      <c r="X100" s="10">
        <f t="shared" si="31"/>
        <v>0.19966617210682491</v>
      </c>
      <c r="Y100" s="10">
        <f t="shared" si="32"/>
        <v>1</v>
      </c>
      <c r="Z100" s="10">
        <f t="shared" si="33"/>
        <v>1</v>
      </c>
      <c r="AA100" s="10">
        <f t="shared" si="34"/>
        <v>1</v>
      </c>
      <c r="AB100" s="12"/>
      <c r="AC100" s="10">
        <f t="shared" si="35"/>
        <v>1.292489751183634</v>
      </c>
      <c r="AD100" s="10">
        <f t="shared" si="36"/>
        <v>1.292489751183634</v>
      </c>
      <c r="AE100" s="10">
        <f t="shared" si="37"/>
        <v>1.292489751183634</v>
      </c>
      <c r="AF100" s="10">
        <f t="shared" si="38"/>
        <v>1.292489751183634</v>
      </c>
      <c r="AG100" s="10">
        <f t="shared" si="39"/>
        <v>0.19966617210682491</v>
      </c>
      <c r="AH100" s="10">
        <f t="shared" si="40"/>
        <v>0.19966617210682491</v>
      </c>
      <c r="AI100" s="10">
        <f t="shared" si="40"/>
        <v>0.19966617210682491</v>
      </c>
      <c r="AJ100" s="10">
        <f t="shared" si="40"/>
        <v>0.19966617210682491</v>
      </c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</row>
    <row r="101" spans="1:61" s="7" customFormat="1" x14ac:dyDescent="0.3">
      <c r="A101" s="7" t="s">
        <v>87</v>
      </c>
      <c r="B101" s="11">
        <v>0</v>
      </c>
      <c r="C101" s="11">
        <v>0</v>
      </c>
      <c r="D101" s="11">
        <v>0</v>
      </c>
      <c r="E101" s="10">
        <f t="shared" si="47"/>
        <v>0</v>
      </c>
      <c r="F101" s="10">
        <f t="shared" si="48"/>
        <v>0</v>
      </c>
      <c r="G101" s="10">
        <f t="shared" si="49"/>
        <v>0</v>
      </c>
      <c r="H101" s="10">
        <f t="shared" si="41"/>
        <v>0</v>
      </c>
      <c r="I101" s="10">
        <f t="shared" si="42"/>
        <v>0</v>
      </c>
      <c r="J101" s="10">
        <f t="shared" si="43"/>
        <v>0</v>
      </c>
      <c r="K101" s="10">
        <f t="shared" si="44"/>
        <v>0</v>
      </c>
      <c r="L101" s="10">
        <f t="shared" si="45"/>
        <v>0</v>
      </c>
      <c r="M101" s="10">
        <f t="shared" si="46"/>
        <v>0</v>
      </c>
      <c r="N101" s="5">
        <v>31600.569000000003</v>
      </c>
      <c r="O101" s="11">
        <f t="shared" si="26"/>
        <v>33364.1</v>
      </c>
      <c r="P101" s="12">
        <v>3.4560000000000004</v>
      </c>
      <c r="Q101" s="11">
        <v>56500</v>
      </c>
      <c r="R101" s="7">
        <v>1.3568</v>
      </c>
      <c r="S101" s="12"/>
      <c r="T101" s="10">
        <f t="shared" si="27"/>
        <v>1.6934369576880539</v>
      </c>
      <c r="U101" s="10">
        <f t="shared" si="28"/>
        <v>3</v>
      </c>
      <c r="V101" s="10">
        <f t="shared" si="29"/>
        <v>3</v>
      </c>
      <c r="W101" s="10">
        <f t="shared" si="30"/>
        <v>3</v>
      </c>
      <c r="X101" s="10">
        <f t="shared" si="31"/>
        <v>0.39259259259259255</v>
      </c>
      <c r="Y101" s="10">
        <f t="shared" si="32"/>
        <v>1</v>
      </c>
      <c r="Z101" s="10">
        <f t="shared" si="33"/>
        <v>1</v>
      </c>
      <c r="AA101" s="10">
        <f t="shared" si="34"/>
        <v>1</v>
      </c>
      <c r="AB101" s="12"/>
      <c r="AC101" s="10">
        <f t="shared" si="35"/>
        <v>1.6934369576880539</v>
      </c>
      <c r="AD101" s="10">
        <f t="shared" si="36"/>
        <v>1.6934369576880539</v>
      </c>
      <c r="AE101" s="10">
        <f t="shared" si="37"/>
        <v>1.6934369576880539</v>
      </c>
      <c r="AF101" s="10">
        <f t="shared" si="38"/>
        <v>1.6934369576880539</v>
      </c>
      <c r="AG101" s="10">
        <f t="shared" si="39"/>
        <v>0.39259259259259255</v>
      </c>
      <c r="AH101" s="10">
        <f t="shared" si="40"/>
        <v>0.39259259259259255</v>
      </c>
      <c r="AI101" s="10">
        <f t="shared" si="40"/>
        <v>0.39259259259259255</v>
      </c>
      <c r="AJ101" s="10">
        <f t="shared" si="40"/>
        <v>0.39259259259259255</v>
      </c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</row>
    <row r="102" spans="1:61" s="7" customFormat="1" x14ac:dyDescent="0.3">
      <c r="A102" s="7" t="s">
        <v>88</v>
      </c>
      <c r="B102" s="11">
        <v>1952.5032235683523</v>
      </c>
      <c r="C102" s="11">
        <v>0</v>
      </c>
      <c r="D102" s="11">
        <v>5296.6701788971595</v>
      </c>
      <c r="E102" s="10">
        <f t="shared" si="47"/>
        <v>259.27216210335143</v>
      </c>
      <c r="F102" s="10">
        <f t="shared" si="48"/>
        <v>4718.9161866912809</v>
      </c>
      <c r="G102" s="10">
        <f t="shared" si="49"/>
        <v>19982.810208966741</v>
      </c>
      <c r="H102" s="10">
        <f t="shared" si="41"/>
        <v>5.8851822357797817E-2</v>
      </c>
      <c r="I102" s="10">
        <f t="shared" si="42"/>
        <v>0.42606509021020927</v>
      </c>
      <c r="J102" s="10">
        <f t="shared" si="43"/>
        <v>22.628563429649887</v>
      </c>
      <c r="K102" s="10">
        <f t="shared" si="44"/>
        <v>21.840984621407209</v>
      </c>
      <c r="L102" s="10">
        <f t="shared" si="45"/>
        <v>0</v>
      </c>
      <c r="M102" s="10">
        <f t="shared" si="46"/>
        <v>0</v>
      </c>
      <c r="N102" s="5">
        <v>89610.814799999993</v>
      </c>
      <c r="O102" s="11">
        <f t="shared" si="26"/>
        <v>94611.719999999972</v>
      </c>
      <c r="P102" s="12">
        <v>116</v>
      </c>
      <c r="Q102" s="11">
        <v>85710</v>
      </c>
      <c r="R102" s="7">
        <v>6.7069999999999999</v>
      </c>
      <c r="S102" s="12"/>
      <c r="T102" s="10">
        <f t="shared" si="27"/>
        <v>0.90591313634293957</v>
      </c>
      <c r="U102" s="10">
        <f t="shared" si="28"/>
        <v>1</v>
      </c>
      <c r="V102" s="10">
        <f t="shared" si="29"/>
        <v>1</v>
      </c>
      <c r="W102" s="10">
        <f t="shared" si="30"/>
        <v>2</v>
      </c>
      <c r="X102" s="10">
        <f t="shared" si="31"/>
        <v>5.7818965517241375E-2</v>
      </c>
      <c r="Y102" s="10">
        <f t="shared" si="32"/>
        <v>1</v>
      </c>
      <c r="Z102" s="10">
        <f t="shared" si="33"/>
        <v>1</v>
      </c>
      <c r="AA102" s="10">
        <f t="shared" si="34"/>
        <v>1</v>
      </c>
      <c r="AB102" s="12"/>
      <c r="AC102" s="10">
        <f t="shared" si="35"/>
        <v>0.90591313634293957</v>
      </c>
      <c r="AD102" s="10">
        <f t="shared" si="36"/>
        <v>0.90865351736659461</v>
      </c>
      <c r="AE102" s="10">
        <f t="shared" si="37"/>
        <v>0.95578979207535075</v>
      </c>
      <c r="AF102" s="10">
        <f t="shared" si="38"/>
        <v>1.117121749916044</v>
      </c>
      <c r="AG102" s="10">
        <f t="shared" si="39"/>
        <v>5.7818965517241375E-2</v>
      </c>
      <c r="AH102" s="10">
        <f t="shared" si="40"/>
        <v>5.832630881342929E-2</v>
      </c>
      <c r="AI102" s="10">
        <f t="shared" si="40"/>
        <v>6.1491940432846628E-2</v>
      </c>
      <c r="AJ102" s="10">
        <f t="shared" si="40"/>
        <v>0.25289278818663696</v>
      </c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</row>
    <row r="103" spans="1:61" s="7" customFormat="1" x14ac:dyDescent="0.3">
      <c r="A103" s="7" t="s">
        <v>89</v>
      </c>
      <c r="B103" s="11">
        <v>0</v>
      </c>
      <c r="C103" s="11">
        <v>0</v>
      </c>
      <c r="D103" s="11">
        <v>0</v>
      </c>
      <c r="E103" s="10">
        <f t="shared" si="47"/>
        <v>0</v>
      </c>
      <c r="F103" s="10">
        <f t="shared" si="48"/>
        <v>0</v>
      </c>
      <c r="G103" s="10">
        <f t="shared" si="49"/>
        <v>0</v>
      </c>
      <c r="H103" s="10">
        <f t="shared" si="41"/>
        <v>0</v>
      </c>
      <c r="I103" s="10">
        <f t="shared" si="42"/>
        <v>0</v>
      </c>
      <c r="J103" s="10">
        <f t="shared" si="43"/>
        <v>0</v>
      </c>
      <c r="K103" s="10">
        <f t="shared" si="44"/>
        <v>0</v>
      </c>
      <c r="L103" s="10">
        <f t="shared" si="45"/>
        <v>0</v>
      </c>
      <c r="M103" s="10">
        <f t="shared" si="46"/>
        <v>0</v>
      </c>
      <c r="N103" s="5">
        <v>193.46340000000001</v>
      </c>
      <c r="O103" s="11">
        <f t="shared" si="26"/>
        <v>204.26</v>
      </c>
      <c r="P103" s="12">
        <v>6.0000000000000001E-3</v>
      </c>
      <c r="Q103" s="11">
        <v>64</v>
      </c>
      <c r="R103" s="7">
        <v>4.7000000000000002E-3</v>
      </c>
      <c r="S103" s="12"/>
      <c r="T103" s="10">
        <f t="shared" si="27"/>
        <v>0.31332615294232841</v>
      </c>
      <c r="U103" s="10">
        <f t="shared" si="28"/>
        <v>1</v>
      </c>
      <c r="V103" s="10">
        <f t="shared" si="29"/>
        <v>1</v>
      </c>
      <c r="W103" s="10">
        <f t="shared" si="30"/>
        <v>1</v>
      </c>
      <c r="X103" s="10">
        <f t="shared" si="31"/>
        <v>0.78333333333333333</v>
      </c>
      <c r="Y103" s="10">
        <f t="shared" si="32"/>
        <v>1</v>
      </c>
      <c r="Z103" s="10">
        <f t="shared" si="33"/>
        <v>1</v>
      </c>
      <c r="AA103" s="10">
        <f t="shared" si="34"/>
        <v>1</v>
      </c>
      <c r="AB103" s="12"/>
      <c r="AC103" s="10">
        <f t="shared" si="35"/>
        <v>0.31332615294232841</v>
      </c>
      <c r="AD103" s="10">
        <f t="shared" si="36"/>
        <v>0.31332615294232841</v>
      </c>
      <c r="AE103" s="10">
        <f t="shared" si="37"/>
        <v>0.31332615294232841</v>
      </c>
      <c r="AF103" s="10">
        <f t="shared" si="38"/>
        <v>0.31332615294232841</v>
      </c>
      <c r="AG103" s="10">
        <f t="shared" si="39"/>
        <v>0.78333333333333333</v>
      </c>
      <c r="AH103" s="10">
        <f t="shared" si="40"/>
        <v>0.78333333333333333</v>
      </c>
      <c r="AI103" s="10">
        <f t="shared" si="40"/>
        <v>0.78333333333333333</v>
      </c>
      <c r="AJ103" s="10">
        <f t="shared" si="40"/>
        <v>0.78333333333333333</v>
      </c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</row>
    <row r="104" spans="1:61" s="7" customFormat="1" x14ac:dyDescent="0.3">
      <c r="A104" s="7" t="s">
        <v>90</v>
      </c>
      <c r="B104" s="11">
        <v>0</v>
      </c>
      <c r="C104" s="11">
        <v>0</v>
      </c>
      <c r="D104" s="11">
        <v>0</v>
      </c>
      <c r="E104" s="10">
        <f t="shared" si="47"/>
        <v>0</v>
      </c>
      <c r="F104" s="10">
        <f t="shared" si="48"/>
        <v>0</v>
      </c>
      <c r="G104" s="10">
        <f t="shared" si="49"/>
        <v>0</v>
      </c>
      <c r="H104" s="10">
        <f t="shared" si="41"/>
        <v>0</v>
      </c>
      <c r="I104" s="10">
        <f t="shared" si="42"/>
        <v>0</v>
      </c>
      <c r="J104" s="10">
        <f t="shared" si="43"/>
        <v>0</v>
      </c>
      <c r="K104" s="10">
        <f t="shared" si="44"/>
        <v>0</v>
      </c>
      <c r="L104" s="10">
        <f t="shared" si="45"/>
        <v>0</v>
      </c>
      <c r="M104" s="10">
        <f t="shared" si="46"/>
        <v>0</v>
      </c>
      <c r="N104" s="5">
        <v>707573.49</v>
      </c>
      <c r="O104" s="11">
        <f t="shared" si="26"/>
        <v>747061</v>
      </c>
      <c r="P104" s="12">
        <v>24</v>
      </c>
      <c r="Q104" s="11">
        <v>412010</v>
      </c>
      <c r="R104" s="7">
        <v>5.1859999999999999</v>
      </c>
      <c r="S104" s="12"/>
      <c r="T104" s="10">
        <f t="shared" si="27"/>
        <v>0.55150784206376724</v>
      </c>
      <c r="U104" s="10">
        <f t="shared" si="28"/>
        <v>1</v>
      </c>
      <c r="V104" s="10">
        <f t="shared" si="29"/>
        <v>1</v>
      </c>
      <c r="W104" s="10">
        <f t="shared" si="30"/>
        <v>1</v>
      </c>
      <c r="X104" s="10">
        <f t="shared" si="31"/>
        <v>0.21608333333333332</v>
      </c>
      <c r="Y104" s="10">
        <f t="shared" si="32"/>
        <v>1</v>
      </c>
      <c r="Z104" s="10">
        <f t="shared" si="33"/>
        <v>1</v>
      </c>
      <c r="AA104" s="10">
        <f t="shared" si="34"/>
        <v>1</v>
      </c>
      <c r="AB104" s="12"/>
      <c r="AC104" s="10">
        <f t="shared" si="35"/>
        <v>0.55150784206376724</v>
      </c>
      <c r="AD104" s="10">
        <f t="shared" si="36"/>
        <v>0.55150784206376724</v>
      </c>
      <c r="AE104" s="10">
        <f t="shared" si="37"/>
        <v>0.55150784206376724</v>
      </c>
      <c r="AF104" s="10">
        <f t="shared" si="38"/>
        <v>0.55150784206376724</v>
      </c>
      <c r="AG104" s="10">
        <f t="shared" si="39"/>
        <v>0.21608333333333332</v>
      </c>
      <c r="AH104" s="10">
        <f t="shared" si="40"/>
        <v>0.21608333333333332</v>
      </c>
      <c r="AI104" s="10">
        <f t="shared" si="40"/>
        <v>0.21608333333333332</v>
      </c>
      <c r="AJ104" s="10">
        <f t="shared" si="40"/>
        <v>0.21608333333333332</v>
      </c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</row>
    <row r="105" spans="1:61" s="7" customFormat="1" x14ac:dyDescent="0.3">
      <c r="A105" s="7" t="s">
        <v>91</v>
      </c>
      <c r="B105" s="11">
        <v>0</v>
      </c>
      <c r="C105" s="11">
        <v>0</v>
      </c>
      <c r="D105" s="11">
        <v>0</v>
      </c>
      <c r="E105" s="10">
        <f t="shared" si="47"/>
        <v>0</v>
      </c>
      <c r="F105" s="10">
        <f t="shared" si="48"/>
        <v>0</v>
      </c>
      <c r="G105" s="10">
        <f t="shared" si="49"/>
        <v>0</v>
      </c>
      <c r="H105" s="10">
        <f t="shared" si="41"/>
        <v>0</v>
      </c>
      <c r="I105" s="10">
        <f t="shared" si="42"/>
        <v>0</v>
      </c>
      <c r="J105" s="10">
        <f t="shared" si="43"/>
        <v>0</v>
      </c>
      <c r="K105" s="10">
        <f t="shared" si="44"/>
        <v>0</v>
      </c>
      <c r="L105" s="10">
        <f t="shared" si="45"/>
        <v>0</v>
      </c>
      <c r="M105" s="10">
        <f t="shared" si="46"/>
        <v>0</v>
      </c>
      <c r="N105" s="5">
        <v>209.11019999999999</v>
      </c>
      <c r="O105" s="11">
        <f t="shared" si="26"/>
        <v>220.77999999999997</v>
      </c>
      <c r="P105" s="12">
        <v>1.0100000000000001E-2</v>
      </c>
      <c r="Q105" s="11">
        <v>103.80000000000001</v>
      </c>
      <c r="R105" s="7">
        <v>4.2999999999999997E-2</v>
      </c>
      <c r="S105" s="12"/>
      <c r="T105" s="10">
        <f t="shared" si="27"/>
        <v>0.47015128181900545</v>
      </c>
      <c r="U105" s="10">
        <f t="shared" si="28"/>
        <v>1</v>
      </c>
      <c r="V105" s="10">
        <f t="shared" si="29"/>
        <v>1</v>
      </c>
      <c r="W105" s="10">
        <f t="shared" si="30"/>
        <v>1</v>
      </c>
      <c r="X105" s="10">
        <f t="shared" si="31"/>
        <v>4.2574257425742568</v>
      </c>
      <c r="Y105" s="10">
        <f t="shared" si="32"/>
        <v>3</v>
      </c>
      <c r="Z105" s="10">
        <f t="shared" si="33"/>
        <v>3</v>
      </c>
      <c r="AA105" s="10">
        <f t="shared" si="34"/>
        <v>3</v>
      </c>
      <c r="AB105" s="12"/>
      <c r="AC105" s="10">
        <f t="shared" si="35"/>
        <v>0.47015128181900545</v>
      </c>
      <c r="AD105" s="10">
        <f t="shared" si="36"/>
        <v>0.47015128181900545</v>
      </c>
      <c r="AE105" s="10">
        <f t="shared" si="37"/>
        <v>0.47015128181900545</v>
      </c>
      <c r="AF105" s="10">
        <f t="shared" si="38"/>
        <v>0.47015128181900545</v>
      </c>
      <c r="AG105" s="10">
        <f t="shared" si="39"/>
        <v>4.2574257425742568</v>
      </c>
      <c r="AH105" s="10">
        <f t="shared" si="40"/>
        <v>4.2574257425742568</v>
      </c>
      <c r="AI105" s="10">
        <f t="shared" si="40"/>
        <v>4.2574257425742568</v>
      </c>
      <c r="AJ105" s="10">
        <f t="shared" si="40"/>
        <v>4.2574257425742568</v>
      </c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</row>
    <row r="106" spans="1:61" s="7" customFormat="1" x14ac:dyDescent="0.3">
      <c r="A106" s="7" t="s">
        <v>200</v>
      </c>
      <c r="B106" s="11">
        <v>0</v>
      </c>
      <c r="C106" s="11">
        <v>0</v>
      </c>
      <c r="D106" s="11">
        <v>0</v>
      </c>
      <c r="E106" s="10">
        <f t="shared" si="47"/>
        <v>0</v>
      </c>
      <c r="F106" s="10">
        <f t="shared" si="48"/>
        <v>0</v>
      </c>
      <c r="G106" s="10">
        <f t="shared" si="49"/>
        <v>0</v>
      </c>
      <c r="H106" s="10">
        <f t="shared" si="41"/>
        <v>0</v>
      </c>
      <c r="I106" s="10">
        <f t="shared" si="42"/>
        <v>0</v>
      </c>
      <c r="J106" s="10">
        <f t="shared" si="43"/>
        <v>0</v>
      </c>
      <c r="K106" s="10">
        <f t="shared" si="44"/>
        <v>0</v>
      </c>
      <c r="L106" s="10">
        <f t="shared" si="45"/>
        <v>0</v>
      </c>
      <c r="M106" s="10">
        <f t="shared" si="46"/>
        <v>0</v>
      </c>
      <c r="N106" s="5">
        <v>681280.23600000003</v>
      </c>
      <c r="O106" s="11">
        <f t="shared" si="26"/>
        <v>719300.39999999991</v>
      </c>
      <c r="P106" s="12">
        <v>2.2800000000000002</v>
      </c>
      <c r="Q106" s="11">
        <v>396610</v>
      </c>
      <c r="R106" s="7">
        <v>1.3482000000000001</v>
      </c>
      <c r="S106" s="12"/>
      <c r="T106" s="10">
        <f t="shared" si="27"/>
        <v>0.55138298268706654</v>
      </c>
      <c r="U106" s="10">
        <f t="shared" si="28"/>
        <v>1</v>
      </c>
      <c r="V106" s="10">
        <f t="shared" si="29"/>
        <v>1</v>
      </c>
      <c r="W106" s="10">
        <f t="shared" si="30"/>
        <v>1</v>
      </c>
      <c r="X106" s="10">
        <f t="shared" si="31"/>
        <v>0.59131578947368413</v>
      </c>
      <c r="Y106" s="10">
        <f t="shared" si="32"/>
        <v>1</v>
      </c>
      <c r="Z106" s="10">
        <f t="shared" si="33"/>
        <v>1</v>
      </c>
      <c r="AA106" s="10">
        <f t="shared" si="34"/>
        <v>1</v>
      </c>
      <c r="AB106" s="12"/>
      <c r="AC106" s="10">
        <f t="shared" si="35"/>
        <v>0.55138298268706654</v>
      </c>
      <c r="AD106" s="10">
        <f t="shared" si="36"/>
        <v>0.55138298268706654</v>
      </c>
      <c r="AE106" s="10">
        <f t="shared" si="37"/>
        <v>0.55138298268706654</v>
      </c>
      <c r="AF106" s="10">
        <f t="shared" si="38"/>
        <v>0.55138298268706654</v>
      </c>
      <c r="AG106" s="10">
        <f t="shared" si="39"/>
        <v>0.59131578947368413</v>
      </c>
      <c r="AH106" s="10">
        <f t="shared" si="40"/>
        <v>0.59131578947368413</v>
      </c>
      <c r="AI106" s="10">
        <f t="shared" si="40"/>
        <v>0.59131578947368413</v>
      </c>
      <c r="AJ106" s="10">
        <f t="shared" si="40"/>
        <v>0.59131578947368413</v>
      </c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</row>
    <row r="107" spans="1:61" s="7" customFormat="1" x14ac:dyDescent="0.3">
      <c r="A107" s="7" t="s">
        <v>92</v>
      </c>
      <c r="B107" s="11">
        <v>0</v>
      </c>
      <c r="C107" s="11">
        <v>0</v>
      </c>
      <c r="D107" s="11">
        <v>0</v>
      </c>
      <c r="E107" s="10">
        <f t="shared" si="47"/>
        <v>0</v>
      </c>
      <c r="F107" s="10">
        <f t="shared" si="48"/>
        <v>0</v>
      </c>
      <c r="G107" s="10">
        <f t="shared" si="49"/>
        <v>0</v>
      </c>
      <c r="H107" s="10">
        <f t="shared" si="41"/>
        <v>0</v>
      </c>
      <c r="I107" s="10">
        <f t="shared" si="42"/>
        <v>0</v>
      </c>
      <c r="J107" s="10">
        <f t="shared" si="43"/>
        <v>0</v>
      </c>
      <c r="K107" s="10">
        <f t="shared" si="44"/>
        <v>0</v>
      </c>
      <c r="L107" s="10">
        <f t="shared" si="45"/>
        <v>0</v>
      </c>
      <c r="M107" s="10">
        <f t="shared" si="46"/>
        <v>0</v>
      </c>
      <c r="N107" s="5">
        <v>1200.6750999999999</v>
      </c>
      <c r="O107" s="11">
        <f t="shared" si="26"/>
        <v>1267.6811010558067</v>
      </c>
      <c r="P107" s="12">
        <v>0.55020000000000002</v>
      </c>
      <c r="Q107" s="11">
        <v>860</v>
      </c>
      <c r="R107" s="7">
        <v>0.59099999999999997</v>
      </c>
      <c r="S107" s="12"/>
      <c r="T107" s="10">
        <f t="shared" si="27"/>
        <v>0.67840405547084082</v>
      </c>
      <c r="U107" s="10">
        <f t="shared" si="28"/>
        <v>1</v>
      </c>
      <c r="V107" s="10">
        <f t="shared" si="29"/>
        <v>1</v>
      </c>
      <c r="W107" s="10">
        <f t="shared" si="30"/>
        <v>1</v>
      </c>
      <c r="X107" s="10">
        <f t="shared" si="31"/>
        <v>1.0741548527808069</v>
      </c>
      <c r="Y107" s="10">
        <f t="shared" si="32"/>
        <v>3</v>
      </c>
      <c r="Z107" s="10">
        <f t="shared" si="33"/>
        <v>3</v>
      </c>
      <c r="AA107" s="10">
        <f t="shared" si="34"/>
        <v>3</v>
      </c>
      <c r="AB107" s="12"/>
      <c r="AC107" s="10">
        <f t="shared" si="35"/>
        <v>0.67840405547084082</v>
      </c>
      <c r="AD107" s="10">
        <f t="shared" si="36"/>
        <v>0.67840405547084082</v>
      </c>
      <c r="AE107" s="10">
        <f t="shared" si="37"/>
        <v>0.67840405547084082</v>
      </c>
      <c r="AF107" s="10">
        <f t="shared" si="38"/>
        <v>0.67840405547084082</v>
      </c>
      <c r="AG107" s="10">
        <f t="shared" si="39"/>
        <v>1.0741548527808069</v>
      </c>
      <c r="AH107" s="10">
        <f t="shared" si="40"/>
        <v>1.0741548527808069</v>
      </c>
      <c r="AI107" s="10">
        <f t="shared" si="40"/>
        <v>1.0741548527808069</v>
      </c>
      <c r="AJ107" s="10">
        <f t="shared" si="40"/>
        <v>1.0741548527808069</v>
      </c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</row>
    <row r="108" spans="1:61" s="7" customFormat="1" x14ac:dyDescent="0.3">
      <c r="A108" s="7" t="s">
        <v>93</v>
      </c>
      <c r="B108" s="11">
        <v>940.35192774858547</v>
      </c>
      <c r="C108" s="11">
        <v>0</v>
      </c>
      <c r="D108" s="11">
        <v>7477.6520172665778</v>
      </c>
      <c r="E108" s="10">
        <f t="shared" si="47"/>
        <v>350.06571371481482</v>
      </c>
      <c r="F108" s="10">
        <f t="shared" si="48"/>
        <v>6335.4026525811005</v>
      </c>
      <c r="G108" s="10">
        <f t="shared" si="49"/>
        <v>25290.644358977628</v>
      </c>
      <c r="H108" s="10">
        <f t="shared" si="41"/>
        <v>7.5980188870979362E-2</v>
      </c>
      <c r="I108" s="10">
        <f t="shared" si="42"/>
        <v>0.57352768691757161</v>
      </c>
      <c r="J108" s="10">
        <f t="shared" si="43"/>
        <v>28.411010497792784</v>
      </c>
      <c r="K108" s="10">
        <f t="shared" si="44"/>
        <v>27.56530944968981</v>
      </c>
      <c r="L108" s="10">
        <f t="shared" si="45"/>
        <v>0</v>
      </c>
      <c r="M108" s="10">
        <f t="shared" si="46"/>
        <v>0</v>
      </c>
      <c r="N108" s="5">
        <v>839755.2696</v>
      </c>
      <c r="O108" s="11">
        <f t="shared" si="26"/>
        <v>886619.44</v>
      </c>
      <c r="P108" s="12">
        <v>92.377600000000001</v>
      </c>
      <c r="Q108" s="11">
        <v>971380</v>
      </c>
      <c r="R108" s="7">
        <v>88.84</v>
      </c>
      <c r="S108" s="12"/>
      <c r="T108" s="10">
        <f t="shared" si="27"/>
        <v>1.095599708483721</v>
      </c>
      <c r="U108" s="10">
        <f t="shared" si="28"/>
        <v>3</v>
      </c>
      <c r="V108" s="10">
        <f t="shared" si="29"/>
        <v>3</v>
      </c>
      <c r="W108" s="10">
        <f t="shared" si="30"/>
        <v>3</v>
      </c>
      <c r="X108" s="10">
        <f t="shared" si="31"/>
        <v>0.96170500207842602</v>
      </c>
      <c r="Y108" s="10">
        <f t="shared" si="32"/>
        <v>1</v>
      </c>
      <c r="Z108" s="10">
        <f t="shared" si="33"/>
        <v>1</v>
      </c>
      <c r="AA108" s="10">
        <f t="shared" si="34"/>
        <v>2</v>
      </c>
      <c r="AB108" s="12"/>
      <c r="AC108" s="10">
        <f t="shared" si="35"/>
        <v>1.095599708483721</v>
      </c>
      <c r="AD108" s="10">
        <f t="shared" si="36"/>
        <v>1.095994540469037</v>
      </c>
      <c r="AE108" s="10">
        <f t="shared" si="37"/>
        <v>1.1027452800409849</v>
      </c>
      <c r="AF108" s="10">
        <f t="shared" si="38"/>
        <v>1.124124510916406</v>
      </c>
      <c r="AG108" s="10">
        <f t="shared" si="39"/>
        <v>0.96170500207842602</v>
      </c>
      <c r="AH108" s="10">
        <f t="shared" si="40"/>
        <v>0.96252749788770209</v>
      </c>
      <c r="AI108" s="10">
        <f t="shared" si="40"/>
        <v>0.967913516771572</v>
      </c>
      <c r="AJ108" s="10">
        <f t="shared" si="40"/>
        <v>1.2692580289788087</v>
      </c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</row>
    <row r="109" spans="1:61" s="7" customFormat="1" x14ac:dyDescent="0.3">
      <c r="A109" s="7" t="s">
        <v>94</v>
      </c>
      <c r="B109" s="11">
        <v>0</v>
      </c>
      <c r="C109" s="11">
        <v>0</v>
      </c>
      <c r="D109" s="11">
        <v>0</v>
      </c>
      <c r="E109" s="10">
        <f t="shared" si="47"/>
        <v>0</v>
      </c>
      <c r="F109" s="10">
        <f t="shared" si="48"/>
        <v>0</v>
      </c>
      <c r="G109" s="10">
        <f t="shared" si="49"/>
        <v>0</v>
      </c>
      <c r="H109" s="10">
        <f t="shared" si="41"/>
        <v>0</v>
      </c>
      <c r="I109" s="10">
        <f t="shared" si="42"/>
        <v>0</v>
      </c>
      <c r="J109" s="10">
        <f t="shared" si="43"/>
        <v>0</v>
      </c>
      <c r="K109" s="10">
        <f t="shared" si="44"/>
        <v>0</v>
      </c>
      <c r="L109" s="10">
        <f t="shared" si="45"/>
        <v>0</v>
      </c>
      <c r="M109" s="10">
        <f t="shared" si="46"/>
        <v>0</v>
      </c>
      <c r="N109" s="5">
        <v>934279.74779100006</v>
      </c>
      <c r="O109" s="11">
        <f t="shared" si="26"/>
        <v>986419.03989999997</v>
      </c>
      <c r="P109" s="12">
        <v>6.96</v>
      </c>
      <c r="Q109" s="11">
        <v>1126995.469</v>
      </c>
      <c r="R109" s="7">
        <v>0.46239999999999998</v>
      </c>
      <c r="S109" s="12"/>
      <c r="T109" s="10">
        <f t="shared" si="27"/>
        <v>1.1425118772182776</v>
      </c>
      <c r="U109" s="10">
        <f t="shared" si="28"/>
        <v>3</v>
      </c>
      <c r="V109" s="10">
        <f t="shared" si="29"/>
        <v>3</v>
      </c>
      <c r="W109" s="10">
        <f t="shared" si="30"/>
        <v>3</v>
      </c>
      <c r="X109" s="10">
        <f t="shared" si="31"/>
        <v>6.6436781609195403E-2</v>
      </c>
      <c r="Y109" s="10">
        <f t="shared" si="32"/>
        <v>1</v>
      </c>
      <c r="Z109" s="10">
        <f t="shared" si="33"/>
        <v>1</v>
      </c>
      <c r="AA109" s="10">
        <f t="shared" si="34"/>
        <v>1</v>
      </c>
      <c r="AB109" s="12"/>
      <c r="AC109" s="10">
        <f t="shared" si="35"/>
        <v>1.1425118772182776</v>
      </c>
      <c r="AD109" s="10">
        <f t="shared" si="36"/>
        <v>1.1425118772182776</v>
      </c>
      <c r="AE109" s="10">
        <f t="shared" si="37"/>
        <v>1.1425118772182776</v>
      </c>
      <c r="AF109" s="10">
        <f t="shared" si="38"/>
        <v>1.1425118772182776</v>
      </c>
      <c r="AG109" s="10">
        <f t="shared" si="39"/>
        <v>6.6436781609195403E-2</v>
      </c>
      <c r="AH109" s="10">
        <f t="shared" si="40"/>
        <v>6.6436781609195403E-2</v>
      </c>
      <c r="AI109" s="10">
        <f t="shared" si="40"/>
        <v>6.6436781609195403E-2</v>
      </c>
      <c r="AJ109" s="10">
        <f t="shared" si="40"/>
        <v>6.6436781609195403E-2</v>
      </c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</row>
    <row r="110" spans="1:61" s="7" customFormat="1" x14ac:dyDescent="0.3">
      <c r="A110" s="7" t="s">
        <v>95</v>
      </c>
      <c r="B110" s="11">
        <v>0</v>
      </c>
      <c r="C110" s="11">
        <v>0</v>
      </c>
      <c r="D110" s="11">
        <v>0</v>
      </c>
      <c r="E110" s="10">
        <f t="shared" si="47"/>
        <v>0</v>
      </c>
      <c r="F110" s="10">
        <f t="shared" si="48"/>
        <v>0</v>
      </c>
      <c r="G110" s="10">
        <f t="shared" si="49"/>
        <v>0</v>
      </c>
      <c r="H110" s="10">
        <f t="shared" si="41"/>
        <v>0</v>
      </c>
      <c r="I110" s="10">
        <f t="shared" si="42"/>
        <v>0</v>
      </c>
      <c r="J110" s="10">
        <f t="shared" si="43"/>
        <v>0</v>
      </c>
      <c r="K110" s="10">
        <f t="shared" si="44"/>
        <v>0</v>
      </c>
      <c r="L110" s="10">
        <f t="shared" si="45"/>
        <v>0</v>
      </c>
      <c r="M110" s="10">
        <f t="shared" si="46"/>
        <v>0</v>
      </c>
      <c r="N110" s="5">
        <v>3195.6600000000003</v>
      </c>
      <c r="O110" s="11">
        <f t="shared" si="26"/>
        <v>3374</v>
      </c>
      <c r="P110" s="12">
        <v>0.16</v>
      </c>
      <c r="Q110" s="11">
        <v>2579.5</v>
      </c>
      <c r="R110" s="7">
        <v>0.16089999999999999</v>
      </c>
      <c r="S110" s="12"/>
      <c r="T110" s="10">
        <f t="shared" si="27"/>
        <v>0.76452282157676343</v>
      </c>
      <c r="U110" s="10">
        <f t="shared" si="28"/>
        <v>1</v>
      </c>
      <c r="V110" s="10">
        <f t="shared" si="29"/>
        <v>1</v>
      </c>
      <c r="W110" s="10">
        <f t="shared" si="30"/>
        <v>1</v>
      </c>
      <c r="X110" s="10">
        <f t="shared" si="31"/>
        <v>1.005625</v>
      </c>
      <c r="Y110" s="10">
        <f t="shared" si="32"/>
        <v>3</v>
      </c>
      <c r="Z110" s="10">
        <f t="shared" si="33"/>
        <v>3</v>
      </c>
      <c r="AA110" s="10">
        <f t="shared" si="34"/>
        <v>3</v>
      </c>
      <c r="AB110" s="12"/>
      <c r="AC110" s="10">
        <f t="shared" si="35"/>
        <v>0.76452282157676343</v>
      </c>
      <c r="AD110" s="10">
        <f t="shared" si="36"/>
        <v>0.76452282157676343</v>
      </c>
      <c r="AE110" s="10">
        <f t="shared" si="37"/>
        <v>0.76452282157676343</v>
      </c>
      <c r="AF110" s="10">
        <f t="shared" si="38"/>
        <v>0.76452282157676343</v>
      </c>
      <c r="AG110" s="10">
        <f t="shared" si="39"/>
        <v>1.005625</v>
      </c>
      <c r="AH110" s="10">
        <f t="shared" si="40"/>
        <v>1.005625</v>
      </c>
      <c r="AI110" s="10">
        <f t="shared" si="40"/>
        <v>1.005625</v>
      </c>
      <c r="AJ110" s="10">
        <f t="shared" si="40"/>
        <v>1.005625</v>
      </c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</row>
    <row r="111" spans="1:61" s="7" customFormat="1" x14ac:dyDescent="0.3">
      <c r="A111" s="7" t="s">
        <v>96</v>
      </c>
      <c r="B111" s="11">
        <v>2079.0679259591338</v>
      </c>
      <c r="C111" s="11">
        <v>0</v>
      </c>
      <c r="D111" s="11">
        <v>1233.8125828489856</v>
      </c>
      <c r="E111" s="10">
        <f t="shared" si="47"/>
        <v>74.673971198511921</v>
      </c>
      <c r="F111" s="10">
        <f t="shared" si="48"/>
        <v>1391.3215719781003</v>
      </c>
      <c r="G111" s="10">
        <f t="shared" si="49"/>
        <v>7266.6623706056507</v>
      </c>
      <c r="H111" s="10">
        <f t="shared" si="41"/>
        <v>2.0063133062956488E-2</v>
      </c>
      <c r="I111" s="10">
        <f t="shared" si="42"/>
        <v>0.12426840790234644</v>
      </c>
      <c r="J111" s="10">
        <f t="shared" si="43"/>
        <v>8.4328268350850664</v>
      </c>
      <c r="K111" s="10">
        <f t="shared" si="44"/>
        <v>8.0113138033839313</v>
      </c>
      <c r="L111" s="10">
        <f t="shared" si="45"/>
        <v>0</v>
      </c>
      <c r="M111" s="10">
        <f t="shared" si="46"/>
        <v>0</v>
      </c>
      <c r="N111" s="5">
        <v>257658.44130000006</v>
      </c>
      <c r="O111" s="11">
        <f t="shared" si="26"/>
        <v>272037.57000000007</v>
      </c>
      <c r="P111" s="12">
        <v>5.8000000000000007</v>
      </c>
      <c r="Q111" s="11">
        <v>303820</v>
      </c>
      <c r="R111" s="7">
        <v>10.573</v>
      </c>
      <c r="S111" s="12"/>
      <c r="T111" s="10">
        <f t="shared" si="27"/>
        <v>1.116831031831375</v>
      </c>
      <c r="U111" s="10">
        <f t="shared" si="28"/>
        <v>3</v>
      </c>
      <c r="V111" s="10">
        <f t="shared" si="29"/>
        <v>3</v>
      </c>
      <c r="W111" s="10">
        <f t="shared" si="30"/>
        <v>3</v>
      </c>
      <c r="X111" s="10">
        <f t="shared" si="31"/>
        <v>1.8229310344827585</v>
      </c>
      <c r="Y111" s="10">
        <f t="shared" si="32"/>
        <v>3</v>
      </c>
      <c r="Z111" s="10">
        <f t="shared" si="33"/>
        <v>3</v>
      </c>
      <c r="AA111" s="10">
        <f t="shared" si="34"/>
        <v>4</v>
      </c>
      <c r="AB111" s="12"/>
      <c r="AC111" s="10">
        <f t="shared" si="35"/>
        <v>1.116831031831375</v>
      </c>
      <c r="AD111" s="10">
        <f t="shared" si="36"/>
        <v>1.1171055305750541</v>
      </c>
      <c r="AE111" s="10">
        <f t="shared" si="37"/>
        <v>1.1219454782366201</v>
      </c>
      <c r="AF111" s="10">
        <f t="shared" si="38"/>
        <v>1.1435430127191828</v>
      </c>
      <c r="AG111" s="10">
        <f t="shared" si="39"/>
        <v>1.8229310344827585</v>
      </c>
      <c r="AH111" s="10">
        <f t="shared" si="40"/>
        <v>1.826390195355682</v>
      </c>
      <c r="AI111" s="10">
        <f t="shared" si="40"/>
        <v>1.8443566220521286</v>
      </c>
      <c r="AJ111" s="10">
        <f t="shared" si="40"/>
        <v>3.2768666957043213</v>
      </c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</row>
    <row r="112" spans="1:61" s="7" customFormat="1" x14ac:dyDescent="0.3">
      <c r="A112" s="7" t="s">
        <v>97</v>
      </c>
      <c r="B112" s="11">
        <v>0</v>
      </c>
      <c r="C112" s="11">
        <v>0</v>
      </c>
      <c r="D112" s="11">
        <v>0</v>
      </c>
      <c r="E112" s="10">
        <f t="shared" si="47"/>
        <v>0</v>
      </c>
      <c r="F112" s="10">
        <f t="shared" si="48"/>
        <v>0</v>
      </c>
      <c r="G112" s="10">
        <f t="shared" si="49"/>
        <v>0</v>
      </c>
      <c r="H112" s="10">
        <f t="shared" si="41"/>
        <v>0</v>
      </c>
      <c r="I112" s="10">
        <f t="shared" si="42"/>
        <v>0</v>
      </c>
      <c r="J112" s="10">
        <f t="shared" si="43"/>
        <v>0</v>
      </c>
      <c r="K112" s="10">
        <f t="shared" si="44"/>
        <v>0</v>
      </c>
      <c r="L112" s="10">
        <f t="shared" si="45"/>
        <v>0</v>
      </c>
      <c r="M112" s="10">
        <f t="shared" si="46"/>
        <v>0</v>
      </c>
      <c r="N112" s="5">
        <v>269139.81120000005</v>
      </c>
      <c r="O112" s="11">
        <f t="shared" si="26"/>
        <v>284159.68000000005</v>
      </c>
      <c r="P112" s="12">
        <v>43.42</v>
      </c>
      <c r="Q112" s="11">
        <v>414138.32</v>
      </c>
      <c r="R112" s="7">
        <v>1.4730000000000001</v>
      </c>
      <c r="S112" s="12"/>
      <c r="T112" s="10">
        <f t="shared" si="27"/>
        <v>1.4574140849257711</v>
      </c>
      <c r="U112" s="10">
        <f t="shared" si="28"/>
        <v>3</v>
      </c>
      <c r="V112" s="10">
        <f t="shared" si="29"/>
        <v>3</v>
      </c>
      <c r="W112" s="10">
        <f t="shared" si="30"/>
        <v>3</v>
      </c>
      <c r="X112" s="10">
        <f t="shared" si="31"/>
        <v>3.3924458774758179E-2</v>
      </c>
      <c r="Y112" s="10">
        <f t="shared" si="32"/>
        <v>1</v>
      </c>
      <c r="Z112" s="10">
        <f t="shared" si="33"/>
        <v>1</v>
      </c>
      <c r="AA112" s="10">
        <f t="shared" si="34"/>
        <v>1</v>
      </c>
      <c r="AB112" s="12"/>
      <c r="AC112" s="10">
        <f t="shared" si="35"/>
        <v>1.4574140849257711</v>
      </c>
      <c r="AD112" s="10">
        <f t="shared" si="36"/>
        <v>1.4574140849257711</v>
      </c>
      <c r="AE112" s="10">
        <f t="shared" si="37"/>
        <v>1.4574140849257711</v>
      </c>
      <c r="AF112" s="10">
        <f t="shared" si="38"/>
        <v>1.4574140849257711</v>
      </c>
      <c r="AG112" s="10">
        <f t="shared" si="39"/>
        <v>3.3924458774758179E-2</v>
      </c>
      <c r="AH112" s="10">
        <f t="shared" si="40"/>
        <v>3.3924458774758179E-2</v>
      </c>
      <c r="AI112" s="10">
        <f t="shared" si="40"/>
        <v>3.3924458774758179E-2</v>
      </c>
      <c r="AJ112" s="10">
        <f t="shared" si="40"/>
        <v>3.3924458774758179E-2</v>
      </c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</row>
    <row r="113" spans="1:61" s="7" customFormat="1" x14ac:dyDescent="0.3">
      <c r="A113" s="7" t="s">
        <v>98</v>
      </c>
      <c r="B113" s="11">
        <v>105.64570007692832</v>
      </c>
      <c r="C113" s="11">
        <v>0</v>
      </c>
      <c r="D113" s="11">
        <v>0</v>
      </c>
      <c r="E113" s="10">
        <f t="shared" si="47"/>
        <v>0.92873337425219515</v>
      </c>
      <c r="F113" s="10">
        <f t="shared" si="48"/>
        <v>18.99845429418016</v>
      </c>
      <c r="G113" s="10">
        <f t="shared" si="49"/>
        <v>169.88152552516976</v>
      </c>
      <c r="H113" s="10">
        <f t="shared" si="41"/>
        <v>4.1328963228140454E-4</v>
      </c>
      <c r="I113" s="10">
        <f t="shared" si="42"/>
        <v>1.627390092009241E-3</v>
      </c>
      <c r="J113" s="10">
        <f t="shared" si="43"/>
        <v>0.20564592072784843</v>
      </c>
      <c r="K113" s="10">
        <f t="shared" si="44"/>
        <v>0.19016226013847098</v>
      </c>
      <c r="L113" s="10">
        <f t="shared" si="45"/>
        <v>0</v>
      </c>
      <c r="M113" s="10">
        <f t="shared" si="46"/>
        <v>0</v>
      </c>
      <c r="N113" s="5">
        <v>227615.25930000001</v>
      </c>
      <c r="O113" s="11">
        <f t="shared" si="26"/>
        <v>240317.76999999996</v>
      </c>
      <c r="P113" s="12">
        <v>233.56</v>
      </c>
      <c r="Q113" s="11">
        <v>130080</v>
      </c>
      <c r="R113" s="7">
        <v>33.231000000000002</v>
      </c>
      <c r="S113" s="12"/>
      <c r="T113" s="10">
        <f t="shared" si="27"/>
        <v>0.54128331833305554</v>
      </c>
      <c r="U113" s="10">
        <f t="shared" si="28"/>
        <v>1</v>
      </c>
      <c r="V113" s="10">
        <f t="shared" si="29"/>
        <v>1</v>
      </c>
      <c r="W113" s="10">
        <f t="shared" si="30"/>
        <v>1</v>
      </c>
      <c r="X113" s="10">
        <f t="shared" si="31"/>
        <v>0.14228035622538107</v>
      </c>
      <c r="Y113" s="10">
        <f t="shared" si="32"/>
        <v>1</v>
      </c>
      <c r="Z113" s="10">
        <f t="shared" si="33"/>
        <v>1</v>
      </c>
      <c r="AA113" s="10">
        <f t="shared" si="34"/>
        <v>1</v>
      </c>
      <c r="AB113" s="12"/>
      <c r="AC113" s="10">
        <f t="shared" si="35"/>
        <v>0.54128331833305554</v>
      </c>
      <c r="AD113" s="10">
        <f t="shared" si="36"/>
        <v>0.5412871829385496</v>
      </c>
      <c r="AE113" s="10">
        <f t="shared" si="37"/>
        <v>0.5413623738864346</v>
      </c>
      <c r="AF113" s="10">
        <f t="shared" si="38"/>
        <v>0.54199022205276448</v>
      </c>
      <c r="AG113" s="10">
        <f t="shared" si="39"/>
        <v>0.14228035622538107</v>
      </c>
      <c r="AH113" s="10">
        <f t="shared" si="40"/>
        <v>0.14228212574769775</v>
      </c>
      <c r="AI113" s="10">
        <f t="shared" si="40"/>
        <v>0.1422873239856654</v>
      </c>
      <c r="AJ113" s="10">
        <f t="shared" si="40"/>
        <v>0.14316084055800585</v>
      </c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</row>
    <row r="114" spans="1:61" s="7" customFormat="1" x14ac:dyDescent="0.3">
      <c r="A114" s="7" t="s">
        <v>99</v>
      </c>
      <c r="B114" s="11">
        <v>0</v>
      </c>
      <c r="C114" s="11">
        <v>0</v>
      </c>
      <c r="D114" s="11">
        <v>0</v>
      </c>
      <c r="E114" s="10">
        <f t="shared" si="47"/>
        <v>0</v>
      </c>
      <c r="F114" s="10">
        <f t="shared" si="48"/>
        <v>0</v>
      </c>
      <c r="G114" s="10">
        <f t="shared" si="49"/>
        <v>0</v>
      </c>
      <c r="H114" s="10">
        <f t="shared" si="41"/>
        <v>0</v>
      </c>
      <c r="I114" s="10">
        <f t="shared" si="42"/>
        <v>0</v>
      </c>
      <c r="J114" s="10">
        <f t="shared" si="43"/>
        <v>0</v>
      </c>
      <c r="K114" s="10">
        <f t="shared" si="44"/>
        <v>0</v>
      </c>
      <c r="L114" s="10">
        <f t="shared" si="45"/>
        <v>0</v>
      </c>
      <c r="M114" s="10">
        <f t="shared" si="46"/>
        <v>0</v>
      </c>
      <c r="N114" s="5">
        <v>501162.36300000001</v>
      </c>
      <c r="O114" s="11">
        <f t="shared" si="26"/>
        <v>529130.69999999995</v>
      </c>
      <c r="P114" s="12">
        <v>7.9819999999999993</v>
      </c>
      <c r="Q114" s="11">
        <v>388100</v>
      </c>
      <c r="R114" s="7">
        <v>0.28189999999999998</v>
      </c>
      <c r="S114" s="12"/>
      <c r="T114" s="10">
        <f t="shared" si="27"/>
        <v>0.73346717550125151</v>
      </c>
      <c r="U114" s="10">
        <f t="shared" si="28"/>
        <v>1</v>
      </c>
      <c r="V114" s="10">
        <f t="shared" si="29"/>
        <v>1</v>
      </c>
      <c r="W114" s="10">
        <f t="shared" si="30"/>
        <v>1</v>
      </c>
      <c r="X114" s="10">
        <f t="shared" si="31"/>
        <v>3.5316963167126035E-2</v>
      </c>
      <c r="Y114" s="10">
        <f t="shared" si="32"/>
        <v>1</v>
      </c>
      <c r="Z114" s="10">
        <f t="shared" si="33"/>
        <v>1</v>
      </c>
      <c r="AA114" s="10">
        <f t="shared" si="34"/>
        <v>1</v>
      </c>
      <c r="AB114" s="12"/>
      <c r="AC114" s="10">
        <f t="shared" si="35"/>
        <v>0.73346717550125151</v>
      </c>
      <c r="AD114" s="10">
        <f t="shared" si="36"/>
        <v>0.73346717550125151</v>
      </c>
      <c r="AE114" s="10">
        <f t="shared" si="37"/>
        <v>0.73346717550125151</v>
      </c>
      <c r="AF114" s="10">
        <f t="shared" si="38"/>
        <v>0.73346717550125151</v>
      </c>
      <c r="AG114" s="10">
        <f t="shared" si="39"/>
        <v>3.5316963167126035E-2</v>
      </c>
      <c r="AH114" s="10">
        <f t="shared" si="40"/>
        <v>3.5316963167126035E-2</v>
      </c>
      <c r="AI114" s="10">
        <f t="shared" si="40"/>
        <v>3.5316963167126035E-2</v>
      </c>
      <c r="AJ114" s="10">
        <f t="shared" si="40"/>
        <v>3.5316963167126035E-2</v>
      </c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</row>
    <row r="115" spans="1:61" s="7" customFormat="1" x14ac:dyDescent="0.3">
      <c r="A115" s="7" t="s">
        <v>100</v>
      </c>
      <c r="B115" s="11">
        <v>0</v>
      </c>
      <c r="C115" s="11">
        <v>0</v>
      </c>
      <c r="D115" s="11">
        <v>0</v>
      </c>
      <c r="E115" s="10">
        <f t="shared" si="47"/>
        <v>0</v>
      </c>
      <c r="F115" s="10">
        <f t="shared" si="48"/>
        <v>0</v>
      </c>
      <c r="G115" s="10">
        <f t="shared" si="49"/>
        <v>0</v>
      </c>
      <c r="H115" s="10">
        <f t="shared" si="41"/>
        <v>0</v>
      </c>
      <c r="I115" s="10">
        <f t="shared" si="42"/>
        <v>0</v>
      </c>
      <c r="J115" s="10">
        <f t="shared" si="43"/>
        <v>0</v>
      </c>
      <c r="K115" s="10">
        <f t="shared" si="44"/>
        <v>0</v>
      </c>
      <c r="L115" s="10">
        <f t="shared" si="45"/>
        <v>0</v>
      </c>
      <c r="M115" s="10">
        <f t="shared" si="46"/>
        <v>0</v>
      </c>
      <c r="N115" s="5">
        <v>13.260000000000002</v>
      </c>
      <c r="O115" s="11">
        <f t="shared" si="26"/>
        <v>14</v>
      </c>
      <c r="P115" s="12">
        <v>2E-3</v>
      </c>
      <c r="Q115" s="11">
        <v>4</v>
      </c>
      <c r="R115" s="7">
        <v>0</v>
      </c>
      <c r="S115" s="12"/>
      <c r="T115" s="10">
        <f t="shared" si="27"/>
        <v>0.2857142857142857</v>
      </c>
      <c r="U115" s="10">
        <f t="shared" si="28"/>
        <v>1</v>
      </c>
      <c r="V115" s="10">
        <f t="shared" si="29"/>
        <v>1</v>
      </c>
      <c r="W115" s="10">
        <f t="shared" si="30"/>
        <v>1</v>
      </c>
      <c r="X115" s="10">
        <f t="shared" si="31"/>
        <v>0</v>
      </c>
      <c r="Y115" s="10">
        <f t="shared" si="32"/>
        <v>1</v>
      </c>
      <c r="Z115" s="10">
        <f t="shared" si="33"/>
        <v>1</v>
      </c>
      <c r="AA115" s="10">
        <f t="shared" si="34"/>
        <v>1</v>
      </c>
      <c r="AB115" s="12"/>
      <c r="AC115" s="10">
        <f t="shared" si="35"/>
        <v>0.2857142857142857</v>
      </c>
      <c r="AD115" s="10">
        <f t="shared" si="36"/>
        <v>0.2857142857142857</v>
      </c>
      <c r="AE115" s="10">
        <f t="shared" si="37"/>
        <v>0.2857142857142857</v>
      </c>
      <c r="AF115" s="10">
        <f t="shared" si="38"/>
        <v>0.2857142857142857</v>
      </c>
      <c r="AG115" s="10">
        <f t="shared" si="39"/>
        <v>0</v>
      </c>
      <c r="AH115" s="10">
        <f t="shared" si="40"/>
        <v>0</v>
      </c>
      <c r="AI115" s="10">
        <f t="shared" si="40"/>
        <v>0</v>
      </c>
      <c r="AJ115" s="10">
        <f t="shared" si="40"/>
        <v>0</v>
      </c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</row>
    <row r="116" spans="1:61" s="7" customFormat="1" x14ac:dyDescent="0.3">
      <c r="A116" s="7" t="s">
        <v>101</v>
      </c>
      <c r="B116" s="11">
        <v>0</v>
      </c>
      <c r="C116" s="11">
        <v>0</v>
      </c>
      <c r="D116" s="11">
        <v>0</v>
      </c>
      <c r="E116" s="10">
        <f t="shared" si="47"/>
        <v>0</v>
      </c>
      <c r="F116" s="10">
        <f t="shared" si="48"/>
        <v>0</v>
      </c>
      <c r="G116" s="10">
        <f t="shared" si="49"/>
        <v>0</v>
      </c>
      <c r="H116" s="10">
        <f t="shared" si="41"/>
        <v>0</v>
      </c>
      <c r="I116" s="10">
        <f t="shared" si="42"/>
        <v>0</v>
      </c>
      <c r="J116" s="10">
        <f t="shared" si="43"/>
        <v>0</v>
      </c>
      <c r="K116" s="10">
        <f t="shared" si="44"/>
        <v>0</v>
      </c>
      <c r="L116" s="10">
        <f t="shared" si="45"/>
        <v>0</v>
      </c>
      <c r="M116" s="10">
        <f t="shared" si="46"/>
        <v>0</v>
      </c>
      <c r="N116" s="5">
        <v>52973.501100000009</v>
      </c>
      <c r="O116" s="11">
        <f t="shared" si="26"/>
        <v>55929.790000000008</v>
      </c>
      <c r="P116" s="12">
        <v>42.04</v>
      </c>
      <c r="Q116" s="11">
        <v>41210</v>
      </c>
      <c r="R116" s="7">
        <v>9.4970999999999997</v>
      </c>
      <c r="S116" s="12"/>
      <c r="T116" s="10">
        <f t="shared" si="27"/>
        <v>0.736816641006519</v>
      </c>
      <c r="U116" s="10">
        <f t="shared" si="28"/>
        <v>1</v>
      </c>
      <c r="V116" s="10">
        <f t="shared" si="29"/>
        <v>1</v>
      </c>
      <c r="W116" s="10">
        <f t="shared" si="30"/>
        <v>1</v>
      </c>
      <c r="X116" s="10">
        <f t="shared" si="31"/>
        <v>0.22590627973358707</v>
      </c>
      <c r="Y116" s="10">
        <f t="shared" si="32"/>
        <v>1</v>
      </c>
      <c r="Z116" s="10">
        <f t="shared" si="33"/>
        <v>1</v>
      </c>
      <c r="AA116" s="10">
        <f t="shared" si="34"/>
        <v>1</v>
      </c>
      <c r="AB116" s="12"/>
      <c r="AC116" s="10">
        <f t="shared" si="35"/>
        <v>0.736816641006519</v>
      </c>
      <c r="AD116" s="10">
        <f t="shared" si="36"/>
        <v>0.736816641006519</v>
      </c>
      <c r="AE116" s="10">
        <f t="shared" si="37"/>
        <v>0.736816641006519</v>
      </c>
      <c r="AF116" s="10">
        <f t="shared" si="38"/>
        <v>0.736816641006519</v>
      </c>
      <c r="AG116" s="10">
        <f t="shared" si="39"/>
        <v>0.22590627973358707</v>
      </c>
      <c r="AH116" s="10">
        <f t="shared" si="40"/>
        <v>0.22590627973358707</v>
      </c>
      <c r="AI116" s="10">
        <f t="shared" si="40"/>
        <v>0.22590627973358707</v>
      </c>
      <c r="AJ116" s="10">
        <f t="shared" si="40"/>
        <v>0.22590627973358707</v>
      </c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</row>
    <row r="117" spans="1:61" s="7" customFormat="1" x14ac:dyDescent="0.3">
      <c r="A117" s="7" t="s">
        <v>102</v>
      </c>
      <c r="B117" s="11">
        <v>3145.0321155016386</v>
      </c>
      <c r="C117" s="11">
        <v>1215.1215121512155</v>
      </c>
      <c r="D117" s="11">
        <v>21498.249549641412</v>
      </c>
      <c r="E117" s="10">
        <f t="shared" si="47"/>
        <v>1034.1094973947158</v>
      </c>
      <c r="F117" s="10">
        <f t="shared" si="48"/>
        <v>18553.344256176733</v>
      </c>
      <c r="G117" s="10">
        <f t="shared" si="49"/>
        <v>75877.28183187019</v>
      </c>
      <c r="H117" s="10">
        <f t="shared" si="41"/>
        <v>0.22653852436912339</v>
      </c>
      <c r="I117" s="10">
        <f t="shared" si="42"/>
        <v>1.6810752141610374</v>
      </c>
      <c r="J117" s="10">
        <f t="shared" si="43"/>
        <v>85.498737071541228</v>
      </c>
      <c r="K117" s="10">
        <f t="shared" si="44"/>
        <v>82.560302779815245</v>
      </c>
      <c r="L117" s="10">
        <f t="shared" si="45"/>
        <v>0</v>
      </c>
      <c r="M117" s="10">
        <f t="shared" si="46"/>
        <v>0</v>
      </c>
      <c r="N117" s="5">
        <v>17407.065000000002</v>
      </c>
      <c r="O117" s="11">
        <f t="shared" si="26"/>
        <v>18378.5</v>
      </c>
      <c r="P117" s="12">
        <v>18.2</v>
      </c>
      <c r="Q117" s="11">
        <v>18144.5</v>
      </c>
      <c r="R117" s="7">
        <v>8.0986999999999991</v>
      </c>
      <c r="S117" s="12"/>
      <c r="T117" s="10">
        <f t="shared" si="27"/>
        <v>0.98726773131648393</v>
      </c>
      <c r="U117" s="10">
        <f t="shared" si="28"/>
        <v>2</v>
      </c>
      <c r="V117" s="10">
        <f t="shared" si="29"/>
        <v>2</v>
      </c>
      <c r="W117" s="10">
        <f t="shared" si="30"/>
        <v>2</v>
      </c>
      <c r="X117" s="10">
        <f t="shared" si="31"/>
        <v>0.44498351648351647</v>
      </c>
      <c r="Y117" s="10">
        <f t="shared" si="32"/>
        <v>1</v>
      </c>
      <c r="Z117" s="10">
        <f t="shared" si="33"/>
        <v>1</v>
      </c>
      <c r="AA117" s="10">
        <f t="shared" si="34"/>
        <v>2</v>
      </c>
      <c r="AB117" s="12"/>
      <c r="AC117" s="10">
        <f t="shared" si="35"/>
        <v>0.98726773131648393</v>
      </c>
      <c r="AD117" s="10">
        <f t="shared" si="36"/>
        <v>1.0435350816113782</v>
      </c>
      <c r="AE117" s="10">
        <f t="shared" si="37"/>
        <v>1.9967812528866191</v>
      </c>
      <c r="AF117" s="10">
        <f t="shared" si="38"/>
        <v>5.1158572153260709</v>
      </c>
      <c r="AG117" s="10">
        <f t="shared" si="39"/>
        <v>0.44498351648351647</v>
      </c>
      <c r="AH117" s="10">
        <f t="shared" si="40"/>
        <v>0.45743068815214966</v>
      </c>
      <c r="AI117" s="10">
        <f t="shared" si="40"/>
        <v>0.5373502864923646</v>
      </c>
      <c r="AJ117" s="10">
        <f t="shared" si="40"/>
        <v>5.1427163226121548</v>
      </c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</row>
    <row r="118" spans="1:61" s="7" customFormat="1" x14ac:dyDescent="0.3">
      <c r="A118" s="7" t="s">
        <v>103</v>
      </c>
      <c r="B118" s="11">
        <v>0</v>
      </c>
      <c r="C118" s="11">
        <v>0</v>
      </c>
      <c r="D118" s="11">
        <v>0</v>
      </c>
      <c r="E118" s="10">
        <f t="shared" si="47"/>
        <v>0</v>
      </c>
      <c r="F118" s="10">
        <f t="shared" si="48"/>
        <v>0</v>
      </c>
      <c r="G118" s="10">
        <f t="shared" si="49"/>
        <v>0</v>
      </c>
      <c r="H118" s="10">
        <f t="shared" si="41"/>
        <v>0</v>
      </c>
      <c r="I118" s="10">
        <f t="shared" si="42"/>
        <v>0</v>
      </c>
      <c r="J118" s="10">
        <f t="shared" si="43"/>
        <v>0</v>
      </c>
      <c r="K118" s="10">
        <f t="shared" si="44"/>
        <v>0</v>
      </c>
      <c r="L118" s="10">
        <f t="shared" si="45"/>
        <v>0</v>
      </c>
      <c r="M118" s="10">
        <f t="shared" si="46"/>
        <v>0</v>
      </c>
      <c r="N118" s="5">
        <v>6331.5173999999997</v>
      </c>
      <c r="O118" s="11">
        <f t="shared" si="26"/>
        <v>6684.8599999999988</v>
      </c>
      <c r="P118" s="12">
        <v>10</v>
      </c>
      <c r="Q118" s="11">
        <v>1840.3</v>
      </c>
      <c r="R118" s="7">
        <v>0.1</v>
      </c>
      <c r="S118" s="12"/>
      <c r="T118" s="10">
        <f t="shared" si="27"/>
        <v>0.27529372342876296</v>
      </c>
      <c r="U118" s="10">
        <f t="shared" si="28"/>
        <v>1</v>
      </c>
      <c r="V118" s="10">
        <f t="shared" si="29"/>
        <v>1</v>
      </c>
      <c r="W118" s="10">
        <f t="shared" si="30"/>
        <v>1</v>
      </c>
      <c r="X118" s="10">
        <f t="shared" si="31"/>
        <v>0.01</v>
      </c>
      <c r="Y118" s="10">
        <f t="shared" si="32"/>
        <v>1</v>
      </c>
      <c r="Z118" s="10">
        <f t="shared" si="33"/>
        <v>1</v>
      </c>
      <c r="AA118" s="10">
        <f t="shared" si="34"/>
        <v>1</v>
      </c>
      <c r="AB118" s="12"/>
      <c r="AC118" s="10">
        <f t="shared" si="35"/>
        <v>0.27529372342876296</v>
      </c>
      <c r="AD118" s="10">
        <f t="shared" si="36"/>
        <v>0.27529372342876296</v>
      </c>
      <c r="AE118" s="10">
        <f t="shared" si="37"/>
        <v>0.27529372342876296</v>
      </c>
      <c r="AF118" s="10">
        <f t="shared" si="38"/>
        <v>0.27529372342876296</v>
      </c>
      <c r="AG118" s="10">
        <f t="shared" si="39"/>
        <v>0.01</v>
      </c>
      <c r="AH118" s="10">
        <f t="shared" si="40"/>
        <v>0.01</v>
      </c>
      <c r="AI118" s="10">
        <f t="shared" si="40"/>
        <v>0.01</v>
      </c>
      <c r="AJ118" s="10">
        <f t="shared" si="40"/>
        <v>0.01</v>
      </c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</row>
    <row r="119" spans="1:61" s="7" customFormat="1" x14ac:dyDescent="0.3">
      <c r="A119" s="7" t="s">
        <v>104</v>
      </c>
      <c r="B119" s="11">
        <v>600.77022263641607</v>
      </c>
      <c r="C119" s="11">
        <v>3645.3645364536465</v>
      </c>
      <c r="D119" s="11">
        <v>6231.3766810554825</v>
      </c>
      <c r="E119" s="10">
        <f t="shared" si="47"/>
        <v>361.48140464281585</v>
      </c>
      <c r="F119" s="10">
        <f t="shared" si="48"/>
        <v>6025.6055546207172</v>
      </c>
      <c r="G119" s="10">
        <f t="shared" si="49"/>
        <v>28151.601533359208</v>
      </c>
      <c r="H119" s="10">
        <f t="shared" si="41"/>
        <v>8.1706199335936883E-2</v>
      </c>
      <c r="I119" s="10">
        <f t="shared" si="42"/>
        <v>0.55126848643787252</v>
      </c>
      <c r="J119" s="10">
        <f t="shared" si="43"/>
        <v>32.192806193114855</v>
      </c>
      <c r="K119" s="10">
        <f t="shared" si="44"/>
        <v>30.187854307656565</v>
      </c>
      <c r="L119" s="10">
        <f t="shared" si="45"/>
        <v>0</v>
      </c>
      <c r="M119" s="10">
        <f t="shared" si="46"/>
        <v>0</v>
      </c>
      <c r="N119" s="5">
        <v>106069.45830000001</v>
      </c>
      <c r="O119" s="11">
        <f t="shared" si="26"/>
        <v>111988.87</v>
      </c>
      <c r="P119" s="12">
        <v>65.400000000000006</v>
      </c>
      <c r="Q119" s="11">
        <v>101540</v>
      </c>
      <c r="R119" s="7">
        <v>9.875</v>
      </c>
      <c r="S119" s="12"/>
      <c r="T119" s="10">
        <f t="shared" si="27"/>
        <v>0.9066972458959538</v>
      </c>
      <c r="U119" s="10">
        <f t="shared" si="28"/>
        <v>1</v>
      </c>
      <c r="V119" s="10">
        <f t="shared" si="29"/>
        <v>1</v>
      </c>
      <c r="W119" s="10">
        <f t="shared" si="30"/>
        <v>2</v>
      </c>
      <c r="X119" s="10">
        <f t="shared" si="31"/>
        <v>0.15099388379204892</v>
      </c>
      <c r="Y119" s="10">
        <f t="shared" si="32"/>
        <v>1</v>
      </c>
      <c r="Z119" s="10">
        <f t="shared" si="33"/>
        <v>1</v>
      </c>
      <c r="AA119" s="10">
        <f t="shared" si="34"/>
        <v>1</v>
      </c>
      <c r="AB119" s="12"/>
      <c r="AC119" s="10">
        <f t="shared" si="35"/>
        <v>0.9066972458959538</v>
      </c>
      <c r="AD119" s="10">
        <f t="shared" si="36"/>
        <v>0.90992507920334254</v>
      </c>
      <c r="AE119" s="10">
        <f t="shared" si="37"/>
        <v>0.96050264240205951</v>
      </c>
      <c r="AF119" s="10">
        <f t="shared" si="38"/>
        <v>1.1580758117602152</v>
      </c>
      <c r="AG119" s="10">
        <f t="shared" si="39"/>
        <v>0.15099388379204892</v>
      </c>
      <c r="AH119" s="10">
        <f t="shared" si="40"/>
        <v>0.1522432140571244</v>
      </c>
      <c r="AI119" s="10">
        <f t="shared" si="40"/>
        <v>0.1594230655418635</v>
      </c>
      <c r="AJ119" s="10">
        <f t="shared" si="40"/>
        <v>0.64323862680603749</v>
      </c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</row>
    <row r="120" spans="1:61" s="7" customFormat="1" x14ac:dyDescent="0.3">
      <c r="A120" s="7" t="s">
        <v>105</v>
      </c>
      <c r="B120" s="11">
        <v>0</v>
      </c>
      <c r="C120" s="11">
        <v>0</v>
      </c>
      <c r="D120" s="11">
        <v>0</v>
      </c>
      <c r="E120" s="10">
        <f t="shared" si="47"/>
        <v>0</v>
      </c>
      <c r="F120" s="10">
        <f t="shared" si="48"/>
        <v>0</v>
      </c>
      <c r="G120" s="10">
        <f t="shared" si="49"/>
        <v>0</v>
      </c>
      <c r="H120" s="10">
        <f t="shared" si="41"/>
        <v>0</v>
      </c>
      <c r="I120" s="10">
        <f t="shared" si="42"/>
        <v>0</v>
      </c>
      <c r="J120" s="10">
        <f t="shared" si="43"/>
        <v>0</v>
      </c>
      <c r="K120" s="10">
        <f t="shared" si="44"/>
        <v>0</v>
      </c>
      <c r="L120" s="10">
        <f t="shared" si="45"/>
        <v>0</v>
      </c>
      <c r="M120" s="10">
        <f t="shared" si="46"/>
        <v>0</v>
      </c>
      <c r="N120" s="5">
        <v>50543.606099999997</v>
      </c>
      <c r="O120" s="11">
        <f t="shared" si="26"/>
        <v>53364.289999999994</v>
      </c>
      <c r="P120" s="12">
        <v>32.904000000000003</v>
      </c>
      <c r="Q120" s="11">
        <v>50650</v>
      </c>
      <c r="R120" s="7">
        <v>1.5432999999999999</v>
      </c>
      <c r="S120" s="12"/>
      <c r="T120" s="10">
        <f t="shared" si="27"/>
        <v>0.94913658553313474</v>
      </c>
      <c r="U120" s="10">
        <f t="shared" si="28"/>
        <v>1</v>
      </c>
      <c r="V120" s="10">
        <f t="shared" si="29"/>
        <v>1</v>
      </c>
      <c r="W120" s="10">
        <f t="shared" si="30"/>
        <v>1</v>
      </c>
      <c r="X120" s="10">
        <f t="shared" si="31"/>
        <v>4.690311208363724E-2</v>
      </c>
      <c r="Y120" s="10">
        <f t="shared" si="32"/>
        <v>1</v>
      </c>
      <c r="Z120" s="10">
        <f t="shared" si="33"/>
        <v>1</v>
      </c>
      <c r="AA120" s="10">
        <f t="shared" si="34"/>
        <v>1</v>
      </c>
      <c r="AB120" s="12"/>
      <c r="AC120" s="10">
        <f t="shared" si="35"/>
        <v>0.94913658553313474</v>
      </c>
      <c r="AD120" s="10">
        <f t="shared" si="36"/>
        <v>0.94913658553313474</v>
      </c>
      <c r="AE120" s="10">
        <f t="shared" si="37"/>
        <v>0.94913658553313474</v>
      </c>
      <c r="AF120" s="10">
        <f t="shared" si="38"/>
        <v>0.94913658553313474</v>
      </c>
      <c r="AG120" s="10">
        <f t="shared" si="39"/>
        <v>4.690311208363724E-2</v>
      </c>
      <c r="AH120" s="10">
        <f t="shared" si="40"/>
        <v>4.690311208363724E-2</v>
      </c>
      <c r="AI120" s="10">
        <f t="shared" si="40"/>
        <v>4.690311208363724E-2</v>
      </c>
      <c r="AJ120" s="10">
        <f t="shared" si="40"/>
        <v>4.690311208363724E-2</v>
      </c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</row>
    <row r="121" spans="1:61" s="7" customFormat="1" x14ac:dyDescent="0.3">
      <c r="A121" s="7" t="s">
        <v>106</v>
      </c>
      <c r="B121" s="11">
        <v>0</v>
      </c>
      <c r="C121" s="11">
        <v>0</v>
      </c>
      <c r="D121" s="11">
        <v>0</v>
      </c>
      <c r="E121" s="10">
        <f t="shared" si="47"/>
        <v>0</v>
      </c>
      <c r="F121" s="10">
        <f t="shared" si="48"/>
        <v>0</v>
      </c>
      <c r="G121" s="10">
        <f t="shared" si="49"/>
        <v>0</v>
      </c>
      <c r="H121" s="10">
        <f t="shared" si="41"/>
        <v>0</v>
      </c>
      <c r="I121" s="10">
        <f t="shared" si="42"/>
        <v>0</v>
      </c>
      <c r="J121" s="10">
        <f t="shared" si="43"/>
        <v>0</v>
      </c>
      <c r="K121" s="10">
        <f t="shared" si="44"/>
        <v>0</v>
      </c>
      <c r="L121" s="10">
        <f t="shared" si="45"/>
        <v>0</v>
      </c>
      <c r="M121" s="10">
        <f t="shared" si="46"/>
        <v>0</v>
      </c>
      <c r="N121" s="5">
        <v>832464.78899999999</v>
      </c>
      <c r="O121" s="11">
        <f t="shared" si="26"/>
        <v>878922.1</v>
      </c>
      <c r="P121" s="12">
        <v>6.81</v>
      </c>
      <c r="Q121" s="11">
        <v>465970</v>
      </c>
      <c r="R121" s="7">
        <v>1.7472000000000001</v>
      </c>
      <c r="S121" s="12"/>
      <c r="T121" s="10">
        <f t="shared" si="27"/>
        <v>0.53016075030995358</v>
      </c>
      <c r="U121" s="10">
        <f t="shared" si="28"/>
        <v>1</v>
      </c>
      <c r="V121" s="10">
        <f t="shared" si="29"/>
        <v>1</v>
      </c>
      <c r="W121" s="10">
        <f t="shared" si="30"/>
        <v>1</v>
      </c>
      <c r="X121" s="10">
        <f t="shared" si="31"/>
        <v>0.25656387665198238</v>
      </c>
      <c r="Y121" s="10">
        <f t="shared" si="32"/>
        <v>1</v>
      </c>
      <c r="Z121" s="10">
        <f t="shared" si="33"/>
        <v>1</v>
      </c>
      <c r="AA121" s="10">
        <f t="shared" si="34"/>
        <v>1</v>
      </c>
      <c r="AB121" s="12"/>
      <c r="AC121" s="10">
        <f t="shared" si="35"/>
        <v>0.53016075030995358</v>
      </c>
      <c r="AD121" s="10">
        <f t="shared" si="36"/>
        <v>0.53016075030995358</v>
      </c>
      <c r="AE121" s="10">
        <f t="shared" si="37"/>
        <v>0.53016075030995358</v>
      </c>
      <c r="AF121" s="10">
        <f t="shared" si="38"/>
        <v>0.53016075030995358</v>
      </c>
      <c r="AG121" s="10">
        <f t="shared" si="39"/>
        <v>0.25656387665198238</v>
      </c>
      <c r="AH121" s="10">
        <f t="shared" si="40"/>
        <v>0.25656387665198238</v>
      </c>
      <c r="AI121" s="10">
        <f t="shared" si="40"/>
        <v>0.25656387665198238</v>
      </c>
      <c r="AJ121" s="10">
        <f t="shared" si="40"/>
        <v>0.25656387665198238</v>
      </c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</row>
    <row r="122" spans="1:61" s="7" customFormat="1" x14ac:dyDescent="0.3">
      <c r="A122" s="7" t="s">
        <v>107</v>
      </c>
      <c r="B122" s="11">
        <v>1326.6398544376714</v>
      </c>
      <c r="C122" s="11">
        <v>0</v>
      </c>
      <c r="D122" s="11">
        <v>7191.0086899380267</v>
      </c>
      <c r="E122" s="10">
        <f t="shared" si="47"/>
        <v>340.35928090956554</v>
      </c>
      <c r="F122" s="10">
        <f t="shared" si="48"/>
        <v>6168.4947608525836</v>
      </c>
      <c r="G122" s="10">
        <f t="shared" si="49"/>
        <v>25000.296889091645</v>
      </c>
      <c r="H122" s="10">
        <f t="shared" si="41"/>
        <v>7.4719803114294839E-2</v>
      </c>
      <c r="I122" s="10">
        <f t="shared" si="42"/>
        <v>0.55804819827347818</v>
      </c>
      <c r="J122" s="10">
        <f t="shared" si="43"/>
        <v>28.144022600756902</v>
      </c>
      <c r="K122" s="10">
        <f t="shared" si="44"/>
        <v>27.268841805173381</v>
      </c>
      <c r="L122" s="10">
        <f t="shared" si="45"/>
        <v>0</v>
      </c>
      <c r="M122" s="10">
        <f t="shared" si="46"/>
        <v>0</v>
      </c>
      <c r="N122" s="5">
        <v>451834.83150000003</v>
      </c>
      <c r="O122" s="11">
        <f t="shared" si="26"/>
        <v>477050.35</v>
      </c>
      <c r="P122" s="12">
        <v>57.24</v>
      </c>
      <c r="Q122" s="11">
        <v>694500.5</v>
      </c>
      <c r="R122" s="7">
        <v>12.472</v>
      </c>
      <c r="S122" s="12"/>
      <c r="T122" s="10">
        <f t="shared" si="27"/>
        <v>1.4558222208620117</v>
      </c>
      <c r="U122" s="10">
        <f t="shared" si="28"/>
        <v>3</v>
      </c>
      <c r="V122" s="10">
        <f t="shared" si="29"/>
        <v>3</v>
      </c>
      <c r="W122" s="10">
        <f t="shared" si="30"/>
        <v>3</v>
      </c>
      <c r="X122" s="10">
        <f t="shared" si="31"/>
        <v>0.21788958770090844</v>
      </c>
      <c r="Y122" s="10">
        <f t="shared" si="32"/>
        <v>1</v>
      </c>
      <c r="Z122" s="10">
        <f t="shared" si="33"/>
        <v>1</v>
      </c>
      <c r="AA122" s="10">
        <f t="shared" si="34"/>
        <v>1</v>
      </c>
      <c r="AB122" s="12"/>
      <c r="AC122" s="10">
        <f t="shared" si="35"/>
        <v>1.4558222208620117</v>
      </c>
      <c r="AD122" s="10">
        <f t="shared" si="36"/>
        <v>1.456535687021107</v>
      </c>
      <c r="AE122" s="10">
        <f t="shared" si="37"/>
        <v>1.468752710821515</v>
      </c>
      <c r="AF122" s="10">
        <f t="shared" si="38"/>
        <v>1.5082282129949001</v>
      </c>
      <c r="AG122" s="10">
        <f t="shared" si="39"/>
        <v>0.21788958770090844</v>
      </c>
      <c r="AH122" s="10">
        <f t="shared" si="40"/>
        <v>0.21919496511380668</v>
      </c>
      <c r="AI122" s="10">
        <f t="shared" si="40"/>
        <v>0.22763885741218515</v>
      </c>
      <c r="AJ122" s="10">
        <f t="shared" si="40"/>
        <v>0.70957411951007854</v>
      </c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</row>
    <row r="123" spans="1:61" s="7" customFormat="1" x14ac:dyDescent="0.3">
      <c r="A123" s="7" t="s">
        <v>108</v>
      </c>
      <c r="B123" s="11">
        <v>0</v>
      </c>
      <c r="C123" s="11">
        <v>0</v>
      </c>
      <c r="D123" s="11">
        <v>0</v>
      </c>
      <c r="E123" s="10">
        <f t="shared" si="47"/>
        <v>0</v>
      </c>
      <c r="F123" s="10">
        <f t="shared" si="48"/>
        <v>0</v>
      </c>
      <c r="G123" s="10">
        <f t="shared" si="49"/>
        <v>0</v>
      </c>
      <c r="H123" s="10">
        <f t="shared" si="41"/>
        <v>0</v>
      </c>
      <c r="I123" s="10">
        <f t="shared" si="42"/>
        <v>0</v>
      </c>
      <c r="J123" s="10">
        <f t="shared" si="43"/>
        <v>0</v>
      </c>
      <c r="K123" s="10">
        <f t="shared" si="44"/>
        <v>0</v>
      </c>
      <c r="L123" s="10">
        <f t="shared" si="45"/>
        <v>0</v>
      </c>
      <c r="M123" s="10">
        <f t="shared" si="46"/>
        <v>0</v>
      </c>
      <c r="N123" s="5">
        <v>9756.1113000000005</v>
      </c>
      <c r="O123" s="11">
        <f t="shared" si="26"/>
        <v>10300.57</v>
      </c>
      <c r="P123" s="12">
        <v>1.2800000000000002</v>
      </c>
      <c r="Q123" s="11">
        <v>12620</v>
      </c>
      <c r="R123" s="7">
        <v>1.044</v>
      </c>
      <c r="S123" s="12"/>
      <c r="T123" s="10">
        <f t="shared" si="27"/>
        <v>1.2251749175045654</v>
      </c>
      <c r="U123" s="10">
        <f t="shared" si="28"/>
        <v>3</v>
      </c>
      <c r="V123" s="10">
        <f t="shared" si="29"/>
        <v>3</v>
      </c>
      <c r="W123" s="10">
        <f t="shared" si="30"/>
        <v>3</v>
      </c>
      <c r="X123" s="10">
        <f t="shared" si="31"/>
        <v>0.81562499999999982</v>
      </c>
      <c r="Y123" s="10">
        <f t="shared" si="32"/>
        <v>1</v>
      </c>
      <c r="Z123" s="10">
        <f t="shared" si="33"/>
        <v>1</v>
      </c>
      <c r="AA123" s="10">
        <f t="shared" si="34"/>
        <v>1</v>
      </c>
      <c r="AB123" s="12"/>
      <c r="AC123" s="10">
        <f t="shared" si="35"/>
        <v>1.2251749175045654</v>
      </c>
      <c r="AD123" s="10">
        <f t="shared" si="36"/>
        <v>1.2251749175045654</v>
      </c>
      <c r="AE123" s="10">
        <f t="shared" si="37"/>
        <v>1.2251749175045654</v>
      </c>
      <c r="AF123" s="10">
        <f t="shared" si="38"/>
        <v>1.2251749175045654</v>
      </c>
      <c r="AG123" s="10">
        <f t="shared" si="39"/>
        <v>0.81562499999999982</v>
      </c>
      <c r="AH123" s="10">
        <f t="shared" si="40"/>
        <v>0.81562499999999982</v>
      </c>
      <c r="AI123" s="10">
        <f t="shared" si="40"/>
        <v>0.81562499999999982</v>
      </c>
      <c r="AJ123" s="10">
        <f t="shared" si="40"/>
        <v>0.81562499999999982</v>
      </c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</row>
    <row r="124" spans="1:61" s="7" customFormat="1" x14ac:dyDescent="0.3">
      <c r="A124" s="7" t="s">
        <v>109</v>
      </c>
      <c r="B124" s="11">
        <v>1127.2506465186739</v>
      </c>
      <c r="C124" s="11">
        <v>0</v>
      </c>
      <c r="D124" s="11">
        <v>0</v>
      </c>
      <c r="E124" s="10">
        <f t="shared" si="47"/>
        <v>9.9096820391830551</v>
      </c>
      <c r="F124" s="10">
        <f t="shared" si="48"/>
        <v>202.71549026960395</v>
      </c>
      <c r="G124" s="10">
        <f t="shared" si="49"/>
        <v>1812.6536086218541</v>
      </c>
      <c r="H124" s="10">
        <f t="shared" si="41"/>
        <v>4.4098435132659099E-3</v>
      </c>
      <c r="I124" s="10">
        <f t="shared" si="42"/>
        <v>1.7364422139468857E-2</v>
      </c>
      <c r="J124" s="10">
        <f t="shared" si="43"/>
        <v>2.1942634383187776</v>
      </c>
      <c r="K124" s="10">
        <f t="shared" si="44"/>
        <v>2.0290511637336128</v>
      </c>
      <c r="L124" s="10">
        <f t="shared" si="45"/>
        <v>0</v>
      </c>
      <c r="M124" s="10">
        <f t="shared" si="46"/>
        <v>0</v>
      </c>
      <c r="N124" s="5">
        <v>9830.3649999999998</v>
      </c>
      <c r="O124" s="11">
        <f t="shared" si="26"/>
        <v>10378.967571644042</v>
      </c>
      <c r="P124" s="12">
        <v>78.600000000000009</v>
      </c>
      <c r="Q124" s="11">
        <v>9859.619999999999</v>
      </c>
      <c r="R124" s="7">
        <v>2.6911</v>
      </c>
      <c r="S124" s="12"/>
      <c r="T124" s="10">
        <f t="shared" si="27"/>
        <v>0.94996153826870688</v>
      </c>
      <c r="U124" s="10">
        <f t="shared" si="28"/>
        <v>1</v>
      </c>
      <c r="V124" s="10">
        <f t="shared" si="29"/>
        <v>1</v>
      </c>
      <c r="W124" s="10">
        <f t="shared" si="30"/>
        <v>2</v>
      </c>
      <c r="X124" s="10">
        <f t="shared" si="31"/>
        <v>3.4237913486005085E-2</v>
      </c>
      <c r="Y124" s="10">
        <f t="shared" si="32"/>
        <v>1</v>
      </c>
      <c r="Z124" s="10">
        <f t="shared" si="33"/>
        <v>1</v>
      </c>
      <c r="AA124" s="10">
        <f t="shared" si="34"/>
        <v>1</v>
      </c>
      <c r="AB124" s="12"/>
      <c r="AC124" s="10">
        <f t="shared" si="35"/>
        <v>0.94996153826870688</v>
      </c>
      <c r="AD124" s="10">
        <f t="shared" si="36"/>
        <v>0.9509163232192116</v>
      </c>
      <c r="AE124" s="10">
        <f t="shared" si="37"/>
        <v>0.96949291158404849</v>
      </c>
      <c r="AF124" s="10">
        <f t="shared" si="38"/>
        <v>1.1246083512690801</v>
      </c>
      <c r="AG124" s="10">
        <f t="shared" si="39"/>
        <v>3.4237913486005085E-2</v>
      </c>
      <c r="AH124" s="10">
        <f t="shared" si="40"/>
        <v>3.4294018365308723E-2</v>
      </c>
      <c r="AI124" s="10">
        <f t="shared" si="40"/>
        <v>3.4458834887270591E-2</v>
      </c>
      <c r="AJ124" s="10">
        <f t="shared" si="40"/>
        <v>6.2154751123648565E-2</v>
      </c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</row>
    <row r="125" spans="1:61" s="7" customFormat="1" x14ac:dyDescent="0.3">
      <c r="A125" s="7" t="s">
        <v>110</v>
      </c>
      <c r="B125" s="11">
        <v>2937.6148590563475</v>
      </c>
      <c r="C125" s="11">
        <v>0</v>
      </c>
      <c r="D125" s="11">
        <v>8723.9273534776748</v>
      </c>
      <c r="E125" s="10">
        <f t="shared" si="47"/>
        <v>424.59020074057509</v>
      </c>
      <c r="F125" s="10">
        <f t="shared" si="48"/>
        <v>7722.2902492441353</v>
      </c>
      <c r="G125" s="10">
        <f t="shared" si="49"/>
        <v>32465.392672200203</v>
      </c>
      <c r="H125" s="10">
        <f t="shared" si="41"/>
        <v>9.5843800465118839E-2</v>
      </c>
      <c r="I125" s="10">
        <f t="shared" si="42"/>
        <v>0.69746768946660576</v>
      </c>
      <c r="J125" s="10">
        <f t="shared" si="43"/>
        <v>36.728899755265708</v>
      </c>
      <c r="K125" s="10">
        <f t="shared" si="44"/>
        <v>35.472495389334185</v>
      </c>
      <c r="L125" s="10">
        <f t="shared" si="45"/>
        <v>0</v>
      </c>
      <c r="M125" s="10">
        <f t="shared" si="46"/>
        <v>0</v>
      </c>
      <c r="N125" s="5">
        <v>205181.92500000002</v>
      </c>
      <c r="O125" s="11">
        <f t="shared" si="26"/>
        <v>216632.5</v>
      </c>
      <c r="P125" s="12">
        <v>0.27999999999999997</v>
      </c>
      <c r="Q125" s="11">
        <v>14589.300000000001</v>
      </c>
      <c r="R125" s="7">
        <v>1.6339999999999999</v>
      </c>
      <c r="S125" s="12"/>
      <c r="T125" s="10">
        <f t="shared" si="27"/>
        <v>6.7345850691839876E-2</v>
      </c>
      <c r="U125" s="10">
        <f t="shared" si="28"/>
        <v>1</v>
      </c>
      <c r="V125" s="10">
        <f t="shared" si="29"/>
        <v>1</v>
      </c>
      <c r="W125" s="10">
        <f t="shared" si="30"/>
        <v>1</v>
      </c>
      <c r="X125" s="10">
        <f t="shared" si="31"/>
        <v>5.8357142857142863</v>
      </c>
      <c r="Y125" s="10">
        <f t="shared" si="32"/>
        <v>3</v>
      </c>
      <c r="Z125" s="10">
        <f t="shared" si="33"/>
        <v>4</v>
      </c>
      <c r="AA125" s="10">
        <f t="shared" si="34"/>
        <v>5</v>
      </c>
      <c r="AB125" s="12"/>
      <c r="AC125" s="10">
        <f t="shared" si="35"/>
        <v>6.7345850691839876E-2</v>
      </c>
      <c r="AD125" s="10">
        <f t="shared" si="36"/>
        <v>6.9305806842189316E-2</v>
      </c>
      <c r="AE125" s="10">
        <f t="shared" si="37"/>
        <v>0.10299281155525666</v>
      </c>
      <c r="AF125" s="10">
        <f t="shared" si="38"/>
        <v>0.21720975694875055</v>
      </c>
      <c r="AG125" s="10">
        <f t="shared" si="39"/>
        <v>5.8357142857142863</v>
      </c>
      <c r="AH125" s="10">
        <f t="shared" si="40"/>
        <v>6.1780135730897099</v>
      </c>
      <c r="AI125" s="10">
        <f t="shared" si="40"/>
        <v>8.3266703195235916</v>
      </c>
      <c r="AJ125" s="10">
        <f t="shared" si="40"/>
        <v>137.01035626880611</v>
      </c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</row>
    <row r="126" spans="1:61" s="7" customFormat="1" x14ac:dyDescent="0.3">
      <c r="A126" s="7" t="s">
        <v>111</v>
      </c>
      <c r="B126" s="11">
        <v>5876.8533729040309</v>
      </c>
      <c r="C126" s="11">
        <v>0</v>
      </c>
      <c r="D126" s="11">
        <v>1246.2753362110964</v>
      </c>
      <c r="E126" s="10">
        <f t="shared" si="47"/>
        <v>108.63004095664984</v>
      </c>
      <c r="F126" s="10">
        <f t="shared" si="48"/>
        <v>2084.5612514462759</v>
      </c>
      <c r="G126" s="10">
        <f t="shared" si="49"/>
        <v>13413.248717416249</v>
      </c>
      <c r="H126" s="10">
        <f t="shared" si="41"/>
        <v>3.5040703570833498E-2</v>
      </c>
      <c r="I126" s="10">
        <f t="shared" si="42"/>
        <v>0.18370208506739613</v>
      </c>
      <c r="J126" s="10">
        <f t="shared" si="43"/>
        <v>15.869753155654038</v>
      </c>
      <c r="K126" s="10">
        <f t="shared" si="44"/>
        <v>14.890448734517648</v>
      </c>
      <c r="L126" s="10">
        <f t="shared" si="45"/>
        <v>0</v>
      </c>
      <c r="M126" s="10">
        <f t="shared" si="46"/>
        <v>0</v>
      </c>
      <c r="N126" s="5">
        <v>469669.86300000001</v>
      </c>
      <c r="O126" s="11">
        <f t="shared" si="26"/>
        <v>495880.69999999995</v>
      </c>
      <c r="P126" s="12">
        <v>49.360000000000007</v>
      </c>
      <c r="Q126" s="11">
        <v>367230</v>
      </c>
      <c r="R126" s="7">
        <v>192.74</v>
      </c>
      <c r="S126" s="12"/>
      <c r="T126" s="10">
        <f t="shared" si="27"/>
        <v>0.74056118739850141</v>
      </c>
      <c r="U126" s="10">
        <f t="shared" si="28"/>
        <v>1</v>
      </c>
      <c r="V126" s="10">
        <f t="shared" si="29"/>
        <v>1</v>
      </c>
      <c r="W126" s="10">
        <f t="shared" si="30"/>
        <v>1</v>
      </c>
      <c r="X126" s="10">
        <f t="shared" si="31"/>
        <v>3.9047811993517016</v>
      </c>
      <c r="Y126" s="10">
        <f t="shared" si="32"/>
        <v>3</v>
      </c>
      <c r="Z126" s="10">
        <f t="shared" si="33"/>
        <v>3</v>
      </c>
      <c r="AA126" s="10">
        <f t="shared" si="34"/>
        <v>3</v>
      </c>
      <c r="AB126" s="12"/>
      <c r="AC126" s="10">
        <f t="shared" si="35"/>
        <v>0.74056118739850141</v>
      </c>
      <c r="AD126" s="10">
        <f t="shared" si="36"/>
        <v>0.74078025226825062</v>
      </c>
      <c r="AE126" s="10">
        <f t="shared" si="37"/>
        <v>0.74476494296197915</v>
      </c>
      <c r="AF126" s="10">
        <f t="shared" si="38"/>
        <v>0.76761053357675801</v>
      </c>
      <c r="AG126" s="10">
        <f t="shared" si="39"/>
        <v>3.9047811993517016</v>
      </c>
      <c r="AH126" s="10">
        <f t="shared" si="40"/>
        <v>3.9054911001533799</v>
      </c>
      <c r="AI126" s="10">
        <f t="shared" si="40"/>
        <v>3.9085028785467464</v>
      </c>
      <c r="AJ126" s="10">
        <f t="shared" si="40"/>
        <v>4.2262915955359404</v>
      </c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</row>
    <row r="127" spans="1:61" s="7" customFormat="1" x14ac:dyDescent="0.3">
      <c r="A127" s="7" t="s">
        <v>201</v>
      </c>
      <c r="B127" s="11">
        <v>0</v>
      </c>
      <c r="C127" s="11">
        <v>0</v>
      </c>
      <c r="D127" s="11">
        <v>0</v>
      </c>
      <c r="E127" s="10">
        <f t="shared" si="47"/>
        <v>0</v>
      </c>
      <c r="F127" s="10">
        <f t="shared" si="48"/>
        <v>0</v>
      </c>
      <c r="G127" s="10">
        <f t="shared" si="49"/>
        <v>0</v>
      </c>
      <c r="H127" s="10">
        <f t="shared" si="41"/>
        <v>0</v>
      </c>
      <c r="I127" s="10">
        <f t="shared" si="42"/>
        <v>0</v>
      </c>
      <c r="J127" s="10">
        <f t="shared" si="43"/>
        <v>0</v>
      </c>
      <c r="K127" s="10">
        <f t="shared" si="44"/>
        <v>0</v>
      </c>
      <c r="L127" s="10">
        <f t="shared" si="45"/>
        <v>0</v>
      </c>
      <c r="M127" s="10">
        <f t="shared" si="46"/>
        <v>0</v>
      </c>
      <c r="N127" s="5">
        <v>3924.0318000000007</v>
      </c>
      <c r="O127" s="11">
        <f t="shared" si="26"/>
        <v>4143.0200000000004</v>
      </c>
      <c r="P127" s="12">
        <v>0.16739999999999999</v>
      </c>
      <c r="Q127" s="11">
        <v>4449</v>
      </c>
      <c r="R127" s="7">
        <v>0.29970000000000002</v>
      </c>
      <c r="S127" s="12"/>
      <c r="T127" s="10">
        <f t="shared" si="27"/>
        <v>1.0738543381398109</v>
      </c>
      <c r="U127" s="10">
        <f t="shared" si="28"/>
        <v>3</v>
      </c>
      <c r="V127" s="10">
        <f t="shared" si="29"/>
        <v>3</v>
      </c>
      <c r="W127" s="10">
        <f t="shared" si="30"/>
        <v>3</v>
      </c>
      <c r="X127" s="10">
        <f t="shared" si="31"/>
        <v>1.7903225806451615</v>
      </c>
      <c r="Y127" s="10">
        <f t="shared" si="32"/>
        <v>3</v>
      </c>
      <c r="Z127" s="10">
        <f t="shared" si="33"/>
        <v>3</v>
      </c>
      <c r="AA127" s="10">
        <f t="shared" si="34"/>
        <v>3</v>
      </c>
      <c r="AB127" s="12"/>
      <c r="AC127" s="10">
        <f t="shared" si="35"/>
        <v>1.0738543381398109</v>
      </c>
      <c r="AD127" s="10">
        <f t="shared" si="36"/>
        <v>1.0738543381398109</v>
      </c>
      <c r="AE127" s="10">
        <f t="shared" si="37"/>
        <v>1.0738543381398109</v>
      </c>
      <c r="AF127" s="10">
        <f t="shared" si="38"/>
        <v>1.0738543381398109</v>
      </c>
      <c r="AG127" s="10">
        <f t="shared" si="39"/>
        <v>1.7903225806451615</v>
      </c>
      <c r="AH127" s="10">
        <f t="shared" si="40"/>
        <v>1.7903225806451615</v>
      </c>
      <c r="AI127" s="10">
        <f t="shared" si="40"/>
        <v>1.7903225806451615</v>
      </c>
      <c r="AJ127" s="10">
        <f t="shared" si="40"/>
        <v>1.7903225806451615</v>
      </c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</row>
    <row r="128" spans="1:61" s="7" customFormat="1" x14ac:dyDescent="0.3">
      <c r="A128" s="7" t="s">
        <v>112</v>
      </c>
      <c r="B128" s="11">
        <v>0</v>
      </c>
      <c r="C128" s="11">
        <v>0</v>
      </c>
      <c r="D128" s="11">
        <v>0</v>
      </c>
      <c r="E128" s="10">
        <f t="shared" si="47"/>
        <v>0</v>
      </c>
      <c r="F128" s="10">
        <f t="shared" si="48"/>
        <v>0</v>
      </c>
      <c r="G128" s="10">
        <f t="shared" si="49"/>
        <v>0</v>
      </c>
      <c r="H128" s="10">
        <f t="shared" si="41"/>
        <v>0</v>
      </c>
      <c r="I128" s="10">
        <f t="shared" si="42"/>
        <v>0</v>
      </c>
      <c r="J128" s="10">
        <f t="shared" si="43"/>
        <v>0</v>
      </c>
      <c r="K128" s="10">
        <f t="shared" si="44"/>
        <v>0</v>
      </c>
      <c r="L128" s="10">
        <f t="shared" si="45"/>
        <v>0</v>
      </c>
      <c r="M128" s="10">
        <f t="shared" si="46"/>
        <v>0</v>
      </c>
      <c r="N128" s="5">
        <v>20274.055346999998</v>
      </c>
      <c r="O128" s="11">
        <f t="shared" si="26"/>
        <v>21405.488299999997</v>
      </c>
      <c r="P128" s="12">
        <v>27.860800000000001</v>
      </c>
      <c r="Q128" s="11">
        <v>21741</v>
      </c>
      <c r="R128" s="7">
        <v>1.2114</v>
      </c>
      <c r="S128" s="12"/>
      <c r="T128" s="10">
        <f t="shared" si="27"/>
        <v>1.0156740970024964</v>
      </c>
      <c r="U128" s="10">
        <f t="shared" si="28"/>
        <v>3</v>
      </c>
      <c r="V128" s="10">
        <f t="shared" si="29"/>
        <v>3</v>
      </c>
      <c r="W128" s="10">
        <f t="shared" si="30"/>
        <v>3</v>
      </c>
      <c r="X128" s="10">
        <f t="shared" si="31"/>
        <v>4.3480445644059035E-2</v>
      </c>
      <c r="Y128" s="10">
        <f t="shared" si="32"/>
        <v>1</v>
      </c>
      <c r="Z128" s="10">
        <f t="shared" si="33"/>
        <v>1</v>
      </c>
      <c r="AA128" s="10">
        <f t="shared" si="34"/>
        <v>1</v>
      </c>
      <c r="AB128" s="12"/>
      <c r="AC128" s="10">
        <f t="shared" si="35"/>
        <v>1.0156740970024964</v>
      </c>
      <c r="AD128" s="10">
        <f t="shared" si="36"/>
        <v>1.0156740970024964</v>
      </c>
      <c r="AE128" s="10">
        <f t="shared" si="37"/>
        <v>1.0156740970024964</v>
      </c>
      <c r="AF128" s="10">
        <f t="shared" si="38"/>
        <v>1.0156740970024964</v>
      </c>
      <c r="AG128" s="10">
        <f t="shared" si="39"/>
        <v>4.3480445644059035E-2</v>
      </c>
      <c r="AH128" s="10">
        <f t="shared" si="40"/>
        <v>4.3480445644059035E-2</v>
      </c>
      <c r="AI128" s="10">
        <f t="shared" si="40"/>
        <v>4.3480445644059035E-2</v>
      </c>
      <c r="AJ128" s="10">
        <f t="shared" si="40"/>
        <v>4.3480445644059035E-2</v>
      </c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</row>
    <row r="129" spans="1:61" s="7" customFormat="1" x14ac:dyDescent="0.3">
      <c r="A129" s="7" t="s">
        <v>113</v>
      </c>
      <c r="B129" s="11">
        <v>0</v>
      </c>
      <c r="C129" s="11">
        <v>0</v>
      </c>
      <c r="D129" s="11">
        <v>0</v>
      </c>
      <c r="E129" s="10">
        <f t="shared" si="47"/>
        <v>0</v>
      </c>
      <c r="F129" s="10">
        <f t="shared" si="48"/>
        <v>0</v>
      </c>
      <c r="G129" s="10">
        <f t="shared" si="49"/>
        <v>0</v>
      </c>
      <c r="H129" s="10">
        <f t="shared" si="41"/>
        <v>0</v>
      </c>
      <c r="I129" s="10">
        <f t="shared" si="42"/>
        <v>0</v>
      </c>
      <c r="J129" s="10">
        <f t="shared" si="43"/>
        <v>0</v>
      </c>
      <c r="K129" s="10">
        <f t="shared" si="44"/>
        <v>0</v>
      </c>
      <c r="L129" s="10">
        <f t="shared" si="45"/>
        <v>0</v>
      </c>
      <c r="M129" s="10">
        <f t="shared" si="46"/>
        <v>0</v>
      </c>
      <c r="N129" s="5">
        <v>55905.751199999992</v>
      </c>
      <c r="O129" s="11">
        <f t="shared" si="26"/>
        <v>59025.679999999978</v>
      </c>
      <c r="P129" s="12">
        <v>160.20000000000002</v>
      </c>
      <c r="Q129" s="11">
        <v>11900</v>
      </c>
      <c r="R129" s="7">
        <v>0.3921</v>
      </c>
      <c r="S129" s="12"/>
      <c r="T129" s="10">
        <f t="shared" si="27"/>
        <v>0.20160716488145505</v>
      </c>
      <c r="U129" s="10">
        <f t="shared" si="28"/>
        <v>1</v>
      </c>
      <c r="V129" s="10">
        <f t="shared" si="29"/>
        <v>1</v>
      </c>
      <c r="W129" s="10">
        <f t="shared" si="30"/>
        <v>1</v>
      </c>
      <c r="X129" s="10">
        <f t="shared" si="31"/>
        <v>2.447565543071161E-3</v>
      </c>
      <c r="Y129" s="10">
        <f t="shared" si="32"/>
        <v>1</v>
      </c>
      <c r="Z129" s="10">
        <f t="shared" si="33"/>
        <v>1</v>
      </c>
      <c r="AA129" s="10">
        <f t="shared" si="34"/>
        <v>1</v>
      </c>
      <c r="AB129" s="12"/>
      <c r="AC129" s="10">
        <f t="shared" si="35"/>
        <v>0.20160716488145505</v>
      </c>
      <c r="AD129" s="10">
        <f t="shared" si="36"/>
        <v>0.20160716488145505</v>
      </c>
      <c r="AE129" s="10">
        <f t="shared" si="37"/>
        <v>0.20160716488145505</v>
      </c>
      <c r="AF129" s="10">
        <f t="shared" si="38"/>
        <v>0.20160716488145505</v>
      </c>
      <c r="AG129" s="10">
        <f t="shared" si="39"/>
        <v>2.447565543071161E-3</v>
      </c>
      <c r="AH129" s="10">
        <f t="shared" si="40"/>
        <v>2.447565543071161E-3</v>
      </c>
      <c r="AI129" s="10">
        <f t="shared" si="40"/>
        <v>2.447565543071161E-3</v>
      </c>
      <c r="AJ129" s="10">
        <f t="shared" si="40"/>
        <v>2.447565543071161E-3</v>
      </c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</row>
    <row r="130" spans="1:61" s="7" customFormat="1" x14ac:dyDescent="0.3">
      <c r="A130" s="7" t="s">
        <v>114</v>
      </c>
      <c r="B130" s="11">
        <v>0</v>
      </c>
      <c r="C130" s="11">
        <v>0</v>
      </c>
      <c r="D130" s="11">
        <v>0</v>
      </c>
      <c r="E130" s="10">
        <f t="shared" si="47"/>
        <v>0</v>
      </c>
      <c r="F130" s="10">
        <f t="shared" si="48"/>
        <v>0</v>
      </c>
      <c r="G130" s="10">
        <f t="shared" si="49"/>
        <v>0</v>
      </c>
      <c r="H130" s="10">
        <f t="shared" si="41"/>
        <v>0</v>
      </c>
      <c r="I130" s="10">
        <f t="shared" si="42"/>
        <v>0</v>
      </c>
      <c r="J130" s="10">
        <f t="shared" si="43"/>
        <v>0</v>
      </c>
      <c r="K130" s="10">
        <f t="shared" si="44"/>
        <v>0</v>
      </c>
      <c r="L130" s="10">
        <f t="shared" si="45"/>
        <v>0</v>
      </c>
      <c r="M130" s="10">
        <f t="shared" si="46"/>
        <v>0</v>
      </c>
      <c r="N130" s="5">
        <v>150385.24019999997</v>
      </c>
      <c r="O130" s="11">
        <f t="shared" si="26"/>
        <v>158777.77999999994</v>
      </c>
      <c r="P130" s="12">
        <v>77.554000000000002</v>
      </c>
      <c r="Q130" s="11">
        <v>168091.4</v>
      </c>
      <c r="R130" s="7">
        <v>2.4129999999999998</v>
      </c>
      <c r="S130" s="12"/>
      <c r="T130" s="10">
        <f t="shared" si="27"/>
        <v>1.0586582077164706</v>
      </c>
      <c r="U130" s="10">
        <f t="shared" si="28"/>
        <v>3</v>
      </c>
      <c r="V130" s="10">
        <f t="shared" si="29"/>
        <v>3</v>
      </c>
      <c r="W130" s="10">
        <f t="shared" si="30"/>
        <v>3</v>
      </c>
      <c r="X130" s="10">
        <f t="shared" si="31"/>
        <v>3.1113804574876856E-2</v>
      </c>
      <c r="Y130" s="10">
        <f t="shared" si="32"/>
        <v>1</v>
      </c>
      <c r="Z130" s="10">
        <f t="shared" si="33"/>
        <v>1</v>
      </c>
      <c r="AA130" s="10">
        <f t="shared" si="34"/>
        <v>1</v>
      </c>
      <c r="AB130" s="12"/>
      <c r="AC130" s="10">
        <f t="shared" si="35"/>
        <v>1.0586582077164706</v>
      </c>
      <c r="AD130" s="10">
        <f t="shared" si="36"/>
        <v>1.0586582077164706</v>
      </c>
      <c r="AE130" s="10">
        <f t="shared" si="37"/>
        <v>1.0586582077164706</v>
      </c>
      <c r="AF130" s="10">
        <f t="shared" si="38"/>
        <v>1.0586582077164706</v>
      </c>
      <c r="AG130" s="10">
        <f t="shared" si="39"/>
        <v>3.1113804574876856E-2</v>
      </c>
      <c r="AH130" s="10">
        <f t="shared" si="40"/>
        <v>3.1113804574876856E-2</v>
      </c>
      <c r="AI130" s="10">
        <f t="shared" si="40"/>
        <v>3.1113804574876856E-2</v>
      </c>
      <c r="AJ130" s="10">
        <f t="shared" si="40"/>
        <v>3.1113804574876856E-2</v>
      </c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</row>
    <row r="131" spans="1:61" s="7" customFormat="1" x14ac:dyDescent="0.3">
      <c r="A131" s="7" t="s">
        <v>115</v>
      </c>
      <c r="B131" s="11">
        <v>0</v>
      </c>
      <c r="C131" s="11">
        <v>0</v>
      </c>
      <c r="D131" s="11">
        <v>0</v>
      </c>
      <c r="E131" s="10">
        <f t="shared" si="47"/>
        <v>0</v>
      </c>
      <c r="F131" s="10">
        <f t="shared" si="48"/>
        <v>0</v>
      </c>
      <c r="G131" s="10">
        <f t="shared" si="49"/>
        <v>0</v>
      </c>
      <c r="H131" s="10">
        <f t="shared" si="41"/>
        <v>0</v>
      </c>
      <c r="I131" s="10">
        <f t="shared" si="42"/>
        <v>0</v>
      </c>
      <c r="J131" s="10">
        <f t="shared" si="43"/>
        <v>0</v>
      </c>
      <c r="K131" s="10">
        <f t="shared" si="44"/>
        <v>0</v>
      </c>
      <c r="L131" s="10">
        <f t="shared" si="45"/>
        <v>0</v>
      </c>
      <c r="M131" s="10">
        <f t="shared" si="46"/>
        <v>0</v>
      </c>
      <c r="N131" s="5">
        <v>365628.78690000006</v>
      </c>
      <c r="O131" s="11">
        <f t="shared" si="26"/>
        <v>386033.41000000003</v>
      </c>
      <c r="P131" s="12">
        <v>375.96000000000004</v>
      </c>
      <c r="Q131" s="11">
        <v>244782.90000000002</v>
      </c>
      <c r="R131" s="7">
        <v>35.133000000000003</v>
      </c>
      <c r="S131" s="12"/>
      <c r="T131" s="10">
        <f t="shared" si="27"/>
        <v>0.6340977067243998</v>
      </c>
      <c r="U131" s="10">
        <f t="shared" si="28"/>
        <v>1</v>
      </c>
      <c r="V131" s="10">
        <f t="shared" si="29"/>
        <v>1</v>
      </c>
      <c r="W131" s="10">
        <f t="shared" si="30"/>
        <v>1</v>
      </c>
      <c r="X131" s="10">
        <f t="shared" si="31"/>
        <v>9.3448771145866583E-2</v>
      </c>
      <c r="Y131" s="10">
        <f t="shared" si="32"/>
        <v>1</v>
      </c>
      <c r="Z131" s="10">
        <f t="shared" si="33"/>
        <v>1</v>
      </c>
      <c r="AA131" s="10">
        <f t="shared" si="34"/>
        <v>1</v>
      </c>
      <c r="AB131" s="12"/>
      <c r="AC131" s="10">
        <f t="shared" si="35"/>
        <v>0.6340977067243998</v>
      </c>
      <c r="AD131" s="10">
        <f t="shared" si="36"/>
        <v>0.6340977067243998</v>
      </c>
      <c r="AE131" s="10">
        <f t="shared" si="37"/>
        <v>0.6340977067243998</v>
      </c>
      <c r="AF131" s="10">
        <f t="shared" si="38"/>
        <v>0.6340977067243998</v>
      </c>
      <c r="AG131" s="10">
        <f t="shared" si="39"/>
        <v>9.3448771145866583E-2</v>
      </c>
      <c r="AH131" s="10">
        <f t="shared" si="40"/>
        <v>9.3448771145866583E-2</v>
      </c>
      <c r="AI131" s="10">
        <f t="shared" si="40"/>
        <v>9.3448771145866583E-2</v>
      </c>
      <c r="AJ131" s="10">
        <f t="shared" si="40"/>
        <v>9.3448771145866583E-2</v>
      </c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</row>
    <row r="132" spans="1:61" s="7" customFormat="1" x14ac:dyDescent="0.3">
      <c r="A132" s="7" t="s">
        <v>116</v>
      </c>
      <c r="B132" s="11">
        <v>48.466826336382361</v>
      </c>
      <c r="C132" s="11">
        <v>0</v>
      </c>
      <c r="D132" s="11">
        <v>1869.4130043166444</v>
      </c>
      <c r="E132" s="10">
        <f t="shared" si="47"/>
        <v>85.875838272911906</v>
      </c>
      <c r="F132" s="10">
        <f t="shared" si="48"/>
        <v>1550.2902485479328</v>
      </c>
      <c r="G132" s="10">
        <f t="shared" si="49"/>
        <v>6022.5685484896067</v>
      </c>
      <c r="H132" s="10">
        <f t="shared" si="41"/>
        <v>1.8264978803053021E-2</v>
      </c>
      <c r="I132" s="10">
        <f t="shared" si="42"/>
        <v>0.1405071675334072</v>
      </c>
      <c r="J132" s="10">
        <f t="shared" si="43"/>
        <v>6.7394829471885584</v>
      </c>
      <c r="K132" s="10">
        <f t="shared" si="44"/>
        <v>6.5554092823410777</v>
      </c>
      <c r="L132" s="10">
        <f t="shared" si="45"/>
        <v>0</v>
      </c>
      <c r="M132" s="10">
        <f t="shared" si="46"/>
        <v>0</v>
      </c>
      <c r="N132" s="5">
        <v>148813.06830000001</v>
      </c>
      <c r="O132" s="11">
        <f t="shared" si="26"/>
        <v>157117.87</v>
      </c>
      <c r="P132" s="12">
        <v>95.800000000000011</v>
      </c>
      <c r="Q132" s="11">
        <v>126750</v>
      </c>
      <c r="R132" s="7">
        <v>93.735137330000001</v>
      </c>
      <c r="S132" s="12"/>
      <c r="T132" s="10">
        <f t="shared" ref="T132:T183" si="67">Q132/O132</f>
        <v>0.80671918477509907</v>
      </c>
      <c r="U132" s="10">
        <f t="shared" ref="U132:U183" si="68">IF($AC132&lt;1,IF(AD132&gt;=1,$AM$25,$AM$24),IF(AD132&lt;$AC132*$AO$26,$AM$26,IF(AD132&lt;$AC132*$AO$27,$AM$27,$AM$28)))</f>
        <v>1</v>
      </c>
      <c r="V132" s="10">
        <f t="shared" ref="V132:V183" si="69">IF($AC132&lt;1,IF(AE132&gt;=1,$AM$25,$AM$24),IF(AE132&lt;$AC132*$AO$26,$AM$26,IF(AE132&lt;$AC132*$AO$27,$AM$27,$AM$28)))</f>
        <v>1</v>
      </c>
      <c r="W132" s="10">
        <f t="shared" ref="W132:W183" si="70">IF($AC132&lt;1,IF(AF132&gt;=1,$AM$25,$AM$24),IF(AF132&lt;$AC132*$AO$26,$AM$26,IF(AF132&lt;$AC132*$AO$27,$AM$27,$AM$28)))</f>
        <v>1</v>
      </c>
      <c r="X132" s="10">
        <f t="shared" ref="X132:X183" si="71">R132/P132</f>
        <v>0.97844610991649261</v>
      </c>
      <c r="Y132" s="10">
        <f t="shared" ref="Y132:Y183" si="72">IF($AG132&lt;1,IF(AH132&gt;=1,$AM$25,$AM$24),IF(AH132&lt;$AG132*$AO$26,$AM$26,IF(AH132&lt;$AG132*$AO$27,$AM$27,$AM$28)))</f>
        <v>1</v>
      </c>
      <c r="Z132" s="10">
        <f t="shared" ref="Z132:Z183" si="73">IF($AG132&lt;1,IF(AI132&gt;=1,$AM$25,$AM$24),IF(AI132&lt;$AG132*$AO$26,$AM$26,IF(AI132&lt;$AG132*$AO$27,$AM$27,$AM$28)))</f>
        <v>1</v>
      </c>
      <c r="AA132" s="10">
        <f t="shared" ref="AA132:AA183" si="74">IF($AG132&lt;1,IF(AJ132&gt;=1,$AM$25,$AM$24),IF(AJ132&lt;$AG132*$AO$26,$AM$26,IF(AJ132&lt;$AG132*$AO$27,$AM$27,$AM$28)))</f>
        <v>2</v>
      </c>
      <c r="AB132" s="12"/>
      <c r="AC132" s="10">
        <f t="shared" si="35"/>
        <v>0.80671918477509907</v>
      </c>
      <c r="AD132" s="10">
        <f t="shared" si="36"/>
        <v>0.80726575429181235</v>
      </c>
      <c r="AE132" s="10">
        <f t="shared" si="37"/>
        <v>0.81658623712597389</v>
      </c>
      <c r="AF132" s="10">
        <f t="shared" si="38"/>
        <v>0.84505071605470206</v>
      </c>
      <c r="AG132" s="10">
        <f t="shared" si="39"/>
        <v>0.97844610991649261</v>
      </c>
      <c r="AH132" s="10">
        <f t="shared" si="40"/>
        <v>0.97863676731527172</v>
      </c>
      <c r="AI132" s="10">
        <f t="shared" si="40"/>
        <v>0.97991278181141339</v>
      </c>
      <c r="AJ132" s="10">
        <f t="shared" si="40"/>
        <v>1.0487956187597971</v>
      </c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</row>
    <row r="133" spans="1:61" s="7" customFormat="1" x14ac:dyDescent="0.3">
      <c r="A133" s="7" t="s">
        <v>117</v>
      </c>
      <c r="B133" s="11">
        <v>3672.9516221772592</v>
      </c>
      <c r="C133" s="11">
        <v>0</v>
      </c>
      <c r="D133" s="11">
        <v>11528.046859952641</v>
      </c>
      <c r="E133" s="10">
        <f t="shared" si="47"/>
        <v>559.22920852958748</v>
      </c>
      <c r="F133" s="10">
        <f t="shared" si="48"/>
        <v>10166.88872760097</v>
      </c>
      <c r="G133" s="10">
        <f t="shared" si="49"/>
        <v>42564.78534576307</v>
      </c>
      <c r="H133" s="10">
        <f t="shared" si="41"/>
        <v>0.12583352566626524</v>
      </c>
      <c r="I133" s="10">
        <f t="shared" si="42"/>
        <v>0.91843584260466571</v>
      </c>
      <c r="J133" s="10">
        <f t="shared" si="43"/>
        <v>48.127987349918897</v>
      </c>
      <c r="K133" s="10">
        <f t="shared" si="44"/>
        <v>46.498355055355198</v>
      </c>
      <c r="L133" s="10">
        <f t="shared" si="45"/>
        <v>0</v>
      </c>
      <c r="M133" s="10">
        <f t="shared" si="46"/>
        <v>0</v>
      </c>
      <c r="N133" s="5">
        <v>135729.36000000002</v>
      </c>
      <c r="O133" s="11">
        <f t="shared" ref="O133:O183" si="75">N133/0.663*$N$2</f>
        <v>143304</v>
      </c>
      <c r="P133" s="12">
        <v>12.100000000000001</v>
      </c>
      <c r="Q133" s="11">
        <v>144610</v>
      </c>
      <c r="R133" s="7">
        <v>9.5980000000000008</v>
      </c>
      <c r="S133" s="12"/>
      <c r="T133" s="10">
        <f t="shared" si="67"/>
        <v>1.009113492993915</v>
      </c>
      <c r="U133" s="10">
        <f t="shared" si="68"/>
        <v>3</v>
      </c>
      <c r="V133" s="10">
        <f t="shared" si="69"/>
        <v>3</v>
      </c>
      <c r="W133" s="10">
        <f t="shared" si="70"/>
        <v>4</v>
      </c>
      <c r="X133" s="10">
        <f t="shared" si="71"/>
        <v>0.79322314049586773</v>
      </c>
      <c r="Y133" s="10">
        <f t="shared" si="72"/>
        <v>1</v>
      </c>
      <c r="Z133" s="10">
        <f t="shared" si="73"/>
        <v>1</v>
      </c>
      <c r="AA133" s="10">
        <f t="shared" si="74"/>
        <v>2</v>
      </c>
      <c r="AB133" s="12"/>
      <c r="AC133" s="10">
        <f t="shared" ref="AC133:AC183" si="76">Q133/O133</f>
        <v>1.009113492993915</v>
      </c>
      <c r="AD133" s="10">
        <f t="shared" ref="AD133:AD183" si="77">IF($O133&gt;0.001,($Q133+E133)/$O133,IF(E133&lt;0.001,0,10))</f>
        <v>1.0130158907534303</v>
      </c>
      <c r="AE133" s="10">
        <f t="shared" ref="AE133:AE183" si="78">IF($O133&gt;0.001,($Q133+F133)/$O133,IF(F133&lt;0.001,0,10))</f>
        <v>1.0800597940573953</v>
      </c>
      <c r="AF133" s="10">
        <f t="shared" ref="AF133:AF183" si="79">IF($O133&gt;0.001,($Q133+G133)/$O133,IF(G133&lt;0.001,0,10))</f>
        <v>1.3061378980751626</v>
      </c>
      <c r="AG133" s="10">
        <f t="shared" ref="AG133:AG183" si="80">R133/P133</f>
        <v>0.79322314049586773</v>
      </c>
      <c r="AH133" s="10">
        <f t="shared" ref="AH133:AJ183" si="81">IF($P133&gt;0.001,($R133+H133)/$P133,IF(H133&lt;0.001,0,10))</f>
        <v>0.80362260542696395</v>
      </c>
      <c r="AI133" s="10">
        <f t="shared" si="81"/>
        <v>0.86912692914088141</v>
      </c>
      <c r="AJ133" s="10">
        <f t="shared" si="81"/>
        <v>4.7707427561916438</v>
      </c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</row>
    <row r="134" spans="1:61" s="7" customFormat="1" x14ac:dyDescent="0.3">
      <c r="A134" s="7" t="s">
        <v>118</v>
      </c>
      <c r="B134" s="11">
        <v>128.25836156598714</v>
      </c>
      <c r="C134" s="11">
        <v>0</v>
      </c>
      <c r="D134" s="11">
        <v>0</v>
      </c>
      <c r="E134" s="10">
        <f t="shared" si="47"/>
        <v>1.1275217148118564</v>
      </c>
      <c r="F134" s="10">
        <f t="shared" si="48"/>
        <v>23.064929460295058</v>
      </c>
      <c r="G134" s="10">
        <f t="shared" si="49"/>
        <v>206.24337865452867</v>
      </c>
      <c r="H134" s="10">
        <f t="shared" si="41"/>
        <v>5.0175114604781245E-4</v>
      </c>
      <c r="I134" s="10">
        <f t="shared" si="42"/>
        <v>1.9757206083904737E-3</v>
      </c>
      <c r="J134" s="10">
        <f t="shared" si="43"/>
        <v>0.2496628716178374</v>
      </c>
      <c r="K134" s="10">
        <f t="shared" si="44"/>
        <v>0.23086505081877684</v>
      </c>
      <c r="L134" s="10">
        <f t="shared" si="45"/>
        <v>0</v>
      </c>
      <c r="M134" s="10">
        <f t="shared" si="46"/>
        <v>0</v>
      </c>
      <c r="N134" s="5">
        <v>36520.087199999994</v>
      </c>
      <c r="O134" s="11">
        <f t="shared" si="75"/>
        <v>38558.161447963794</v>
      </c>
      <c r="P134" s="12">
        <v>15.480000000000002</v>
      </c>
      <c r="Q134" s="11">
        <v>38727.798999999999</v>
      </c>
      <c r="R134" s="7">
        <v>6.1295299999999999</v>
      </c>
      <c r="S134" s="12"/>
      <c r="T134" s="10">
        <f t="shared" si="67"/>
        <v>1.0043995238794032</v>
      </c>
      <c r="U134" s="10">
        <f t="shared" si="68"/>
        <v>3</v>
      </c>
      <c r="V134" s="10">
        <f t="shared" si="69"/>
        <v>3</v>
      </c>
      <c r="W134" s="10">
        <f t="shared" si="70"/>
        <v>3</v>
      </c>
      <c r="X134" s="10">
        <f t="shared" si="71"/>
        <v>0.39596447028423765</v>
      </c>
      <c r="Y134" s="10">
        <f t="shared" si="72"/>
        <v>1</v>
      </c>
      <c r="Z134" s="10">
        <f t="shared" si="73"/>
        <v>1</v>
      </c>
      <c r="AA134" s="10">
        <f t="shared" si="74"/>
        <v>1</v>
      </c>
      <c r="AB134" s="12"/>
      <c r="AC134" s="10">
        <f t="shared" si="76"/>
        <v>1.0043995238794032</v>
      </c>
      <c r="AD134" s="10">
        <f t="shared" si="77"/>
        <v>1.004428765982047</v>
      </c>
      <c r="AE134" s="10">
        <f t="shared" si="78"/>
        <v>1.0049977092854014</v>
      </c>
      <c r="AF134" s="10">
        <f t="shared" si="79"/>
        <v>1.009748414254606</v>
      </c>
      <c r="AG134" s="10">
        <f t="shared" si="80"/>
        <v>0.39596447028423765</v>
      </c>
      <c r="AH134" s="10">
        <f t="shared" si="81"/>
        <v>0.39599688314896941</v>
      </c>
      <c r="AI134" s="10">
        <f t="shared" si="81"/>
        <v>0.39609210081449547</v>
      </c>
      <c r="AJ134" s="10">
        <f t="shared" si="81"/>
        <v>0.41209256276601008</v>
      </c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</row>
    <row r="135" spans="1:61" s="7" customFormat="1" x14ac:dyDescent="0.3">
      <c r="A135" s="7" t="s">
        <v>202</v>
      </c>
      <c r="B135" s="11">
        <v>0</v>
      </c>
      <c r="C135" s="11">
        <v>0</v>
      </c>
      <c r="D135" s="11">
        <v>0</v>
      </c>
      <c r="E135" s="10">
        <f t="shared" si="47"/>
        <v>0</v>
      </c>
      <c r="F135" s="10">
        <f t="shared" si="48"/>
        <v>0</v>
      </c>
      <c r="G135" s="10">
        <f t="shared" si="49"/>
        <v>0</v>
      </c>
      <c r="H135" s="10">
        <f t="shared" si="41"/>
        <v>0</v>
      </c>
      <c r="I135" s="10">
        <f t="shared" si="42"/>
        <v>0</v>
      </c>
      <c r="J135" s="10">
        <f t="shared" si="43"/>
        <v>0</v>
      </c>
      <c r="K135" s="10">
        <f t="shared" si="44"/>
        <v>0</v>
      </c>
      <c r="L135" s="10">
        <f t="shared" si="45"/>
        <v>0</v>
      </c>
      <c r="M135" s="10">
        <f t="shared" si="46"/>
        <v>0</v>
      </c>
      <c r="N135" s="5">
        <v>2590.1421000000005</v>
      </c>
      <c r="O135" s="11">
        <f t="shared" si="75"/>
        <v>2734.6900000000005</v>
      </c>
      <c r="P135" s="12">
        <v>1.42</v>
      </c>
      <c r="Q135" s="11">
        <v>1679</v>
      </c>
      <c r="R135" s="7">
        <v>0.875</v>
      </c>
      <c r="S135" s="12"/>
      <c r="T135" s="10">
        <f t="shared" si="67"/>
        <v>0.61396355711250628</v>
      </c>
      <c r="U135" s="10">
        <f t="shared" si="68"/>
        <v>1</v>
      </c>
      <c r="V135" s="10">
        <f t="shared" si="69"/>
        <v>1</v>
      </c>
      <c r="W135" s="10">
        <f t="shared" si="70"/>
        <v>1</v>
      </c>
      <c r="X135" s="10">
        <f t="shared" si="71"/>
        <v>0.61619718309859162</v>
      </c>
      <c r="Y135" s="10">
        <f t="shared" si="72"/>
        <v>1</v>
      </c>
      <c r="Z135" s="10">
        <f t="shared" si="73"/>
        <v>1</v>
      </c>
      <c r="AA135" s="10">
        <f t="shared" si="74"/>
        <v>1</v>
      </c>
      <c r="AB135" s="12"/>
      <c r="AC135" s="10">
        <f t="shared" si="76"/>
        <v>0.61396355711250628</v>
      </c>
      <c r="AD135" s="10">
        <f t="shared" si="77"/>
        <v>0.61396355711250628</v>
      </c>
      <c r="AE135" s="10">
        <f t="shared" si="78"/>
        <v>0.61396355711250628</v>
      </c>
      <c r="AF135" s="10">
        <f t="shared" si="79"/>
        <v>0.61396355711250628</v>
      </c>
      <c r="AG135" s="10">
        <f t="shared" si="80"/>
        <v>0.61619718309859162</v>
      </c>
      <c r="AH135" s="10">
        <f t="shared" si="81"/>
        <v>0.61619718309859162</v>
      </c>
      <c r="AI135" s="10">
        <f t="shared" si="81"/>
        <v>0.61619718309859162</v>
      </c>
      <c r="AJ135" s="10">
        <f t="shared" si="81"/>
        <v>0.61619718309859162</v>
      </c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</row>
    <row r="136" spans="1:61" s="7" customFormat="1" x14ac:dyDescent="0.3">
      <c r="A136" s="7" t="s">
        <v>119</v>
      </c>
      <c r="B136" s="11">
        <v>5379.6409173945658</v>
      </c>
      <c r="C136" s="11">
        <v>0</v>
      </c>
      <c r="D136" s="11">
        <v>0</v>
      </c>
      <c r="E136" s="10">
        <f t="shared" si="47"/>
        <v>47.292526414599891</v>
      </c>
      <c r="F136" s="10">
        <f t="shared" si="48"/>
        <v>967.43040193589798</v>
      </c>
      <c r="G136" s="10">
        <f t="shared" si="49"/>
        <v>8650.6275708252633</v>
      </c>
      <c r="H136" s="10">
        <f t="shared" si="41"/>
        <v>2.10453413147626E-2</v>
      </c>
      <c r="I136" s="10">
        <f t="shared" si="42"/>
        <v>8.2869196958895941E-2</v>
      </c>
      <c r="J136" s="10">
        <f t="shared" si="43"/>
        <v>10.471805372459404</v>
      </c>
      <c r="K136" s="10">
        <f t="shared" si="44"/>
        <v>9.6833536513102185</v>
      </c>
      <c r="L136" s="10">
        <f t="shared" si="45"/>
        <v>0</v>
      </c>
      <c r="M136" s="10">
        <f t="shared" si="46"/>
        <v>0</v>
      </c>
      <c r="N136" s="5">
        <v>7617.8700000000008</v>
      </c>
      <c r="O136" s="11">
        <f t="shared" si="75"/>
        <v>8042.9999999999991</v>
      </c>
      <c r="P136" s="12">
        <v>1.1600000000000001E-2</v>
      </c>
      <c r="Q136" s="11">
        <v>740</v>
      </c>
      <c r="R136" s="7">
        <v>0.25</v>
      </c>
      <c r="S136" s="12"/>
      <c r="T136" s="10">
        <f t="shared" si="67"/>
        <v>9.2005470595548935E-2</v>
      </c>
      <c r="U136" s="10">
        <f t="shared" si="68"/>
        <v>1</v>
      </c>
      <c r="V136" s="10">
        <f t="shared" si="69"/>
        <v>1</v>
      </c>
      <c r="W136" s="10">
        <f t="shared" si="70"/>
        <v>2</v>
      </c>
      <c r="X136" s="10">
        <f t="shared" si="71"/>
        <v>21.551724137931032</v>
      </c>
      <c r="Y136" s="10">
        <f t="shared" si="72"/>
        <v>3</v>
      </c>
      <c r="Z136" s="10">
        <f t="shared" si="73"/>
        <v>4</v>
      </c>
      <c r="AA136" s="10">
        <f t="shared" si="74"/>
        <v>5</v>
      </c>
      <c r="AB136" s="12"/>
      <c r="AC136" s="10">
        <f t="shared" si="76"/>
        <v>9.2005470595548935E-2</v>
      </c>
      <c r="AD136" s="10">
        <f t="shared" si="77"/>
        <v>9.7885431606937717E-2</v>
      </c>
      <c r="AE136" s="10">
        <f t="shared" si="78"/>
        <v>0.21228775356656696</v>
      </c>
      <c r="AF136" s="10">
        <f t="shared" si="79"/>
        <v>1.1675528497855607</v>
      </c>
      <c r="AG136" s="10">
        <f t="shared" si="80"/>
        <v>21.551724137931032</v>
      </c>
      <c r="AH136" s="10">
        <f t="shared" si="81"/>
        <v>23.365977699548498</v>
      </c>
      <c r="AI136" s="10">
        <f t="shared" si="81"/>
        <v>28.695620427491026</v>
      </c>
      <c r="AJ136" s="10">
        <f t="shared" si="81"/>
        <v>924.29356659132782</v>
      </c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</row>
    <row r="137" spans="1:61" s="7" customFormat="1" x14ac:dyDescent="0.3">
      <c r="A137" s="7" t="s">
        <v>120</v>
      </c>
      <c r="B137" s="11">
        <v>740.05550184491085</v>
      </c>
      <c r="C137" s="11">
        <v>0</v>
      </c>
      <c r="D137" s="11">
        <v>32403.158741488503</v>
      </c>
      <c r="E137" s="10">
        <f t="shared" si="47"/>
        <v>1487.6351103108977</v>
      </c>
      <c r="F137" s="10">
        <f t="shared" si="48"/>
        <v>26853.70796174201</v>
      </c>
      <c r="G137" s="10">
        <f t="shared" si="49"/>
        <v>104230.32696936341</v>
      </c>
      <c r="H137" s="10">
        <f t="shared" si="41"/>
        <v>0.31620162102300187</v>
      </c>
      <c r="I137" s="10">
        <f t="shared" si="42"/>
        <v>2.4339165911846723</v>
      </c>
      <c r="J137" s="10">
        <f t="shared" si="43"/>
        <v>116.62297782599059</v>
      </c>
      <c r="K137" s="10">
        <f t="shared" si="44"/>
        <v>113.44702914887107</v>
      </c>
      <c r="L137" s="10">
        <f t="shared" si="45"/>
        <v>0</v>
      </c>
      <c r="M137" s="10">
        <f t="shared" si="46"/>
        <v>0</v>
      </c>
      <c r="N137" s="5">
        <v>21169.59</v>
      </c>
      <c r="O137" s="11">
        <f t="shared" si="75"/>
        <v>22351</v>
      </c>
      <c r="P137" s="12">
        <v>13.940000000000001</v>
      </c>
      <c r="Q137" s="11">
        <v>16210</v>
      </c>
      <c r="R137" s="7">
        <v>29.196999999999999</v>
      </c>
      <c r="S137" s="12"/>
      <c r="T137" s="10">
        <f t="shared" si="67"/>
        <v>0.72524719251935033</v>
      </c>
      <c r="U137" s="10">
        <f t="shared" si="68"/>
        <v>1</v>
      </c>
      <c r="V137" s="10">
        <f t="shared" si="69"/>
        <v>2</v>
      </c>
      <c r="W137" s="10">
        <f t="shared" si="70"/>
        <v>2</v>
      </c>
      <c r="X137" s="10">
        <f t="shared" si="71"/>
        <v>2.0944763271162121</v>
      </c>
      <c r="Y137" s="10">
        <f t="shared" si="72"/>
        <v>3</v>
      </c>
      <c r="Z137" s="10">
        <f t="shared" si="73"/>
        <v>3</v>
      </c>
      <c r="AA137" s="10">
        <f t="shared" si="74"/>
        <v>5</v>
      </c>
      <c r="AB137" s="12"/>
      <c r="AC137" s="10">
        <f t="shared" si="76"/>
        <v>0.72524719251935033</v>
      </c>
      <c r="AD137" s="10">
        <f t="shared" si="77"/>
        <v>0.79180506958574104</v>
      </c>
      <c r="AE137" s="10">
        <f t="shared" si="78"/>
        <v>1.9267016223767173</v>
      </c>
      <c r="AF137" s="10">
        <f t="shared" si="79"/>
        <v>5.3885878470477122</v>
      </c>
      <c r="AG137" s="10">
        <f t="shared" si="80"/>
        <v>2.0944763271162121</v>
      </c>
      <c r="AH137" s="10">
        <f t="shared" si="81"/>
        <v>2.1171593702312048</v>
      </c>
      <c r="AI137" s="10">
        <f t="shared" si="81"/>
        <v>2.2690757956373506</v>
      </c>
      <c r="AJ137" s="10">
        <f t="shared" si="81"/>
        <v>10.460543603012235</v>
      </c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</row>
    <row r="138" spans="1:61" s="7" customFormat="1" x14ac:dyDescent="0.3">
      <c r="A138" s="7" t="s">
        <v>121</v>
      </c>
      <c r="B138" s="11">
        <v>0</v>
      </c>
      <c r="C138" s="11">
        <v>0</v>
      </c>
      <c r="D138" s="11">
        <v>0</v>
      </c>
      <c r="E138" s="10">
        <f t="shared" si="47"/>
        <v>0</v>
      </c>
      <c r="F138" s="10">
        <f t="shared" si="48"/>
        <v>0</v>
      </c>
      <c r="G138" s="10">
        <f t="shared" si="49"/>
        <v>0</v>
      </c>
      <c r="H138" s="10">
        <f t="shared" si="41"/>
        <v>0</v>
      </c>
      <c r="I138" s="10">
        <f t="shared" si="42"/>
        <v>0</v>
      </c>
      <c r="J138" s="10">
        <f t="shared" si="43"/>
        <v>0</v>
      </c>
      <c r="K138" s="10">
        <f t="shared" si="44"/>
        <v>0</v>
      </c>
      <c r="L138" s="10">
        <f t="shared" si="45"/>
        <v>0</v>
      </c>
      <c r="M138" s="10">
        <f t="shared" si="46"/>
        <v>0</v>
      </c>
      <c r="N138" s="5">
        <v>18599.934600000004</v>
      </c>
      <c r="O138" s="11">
        <f t="shared" si="75"/>
        <v>19637.940000000002</v>
      </c>
      <c r="P138" s="12">
        <v>2.4540000000000002</v>
      </c>
      <c r="Q138" s="11">
        <v>22646</v>
      </c>
      <c r="R138" s="7">
        <v>0.83699999999999997</v>
      </c>
      <c r="S138" s="12"/>
      <c r="T138" s="10">
        <f t="shared" si="67"/>
        <v>1.1531759441163378</v>
      </c>
      <c r="U138" s="10">
        <f t="shared" si="68"/>
        <v>3</v>
      </c>
      <c r="V138" s="10">
        <f t="shared" si="69"/>
        <v>3</v>
      </c>
      <c r="W138" s="10">
        <f t="shared" si="70"/>
        <v>3</v>
      </c>
      <c r="X138" s="10">
        <f t="shared" si="71"/>
        <v>0.34107579462102683</v>
      </c>
      <c r="Y138" s="10">
        <f t="shared" si="72"/>
        <v>1</v>
      </c>
      <c r="Z138" s="10">
        <f t="shared" si="73"/>
        <v>1</v>
      </c>
      <c r="AA138" s="10">
        <f t="shared" si="74"/>
        <v>1</v>
      </c>
      <c r="AB138" s="12"/>
      <c r="AC138" s="10">
        <f t="shared" si="76"/>
        <v>1.1531759441163378</v>
      </c>
      <c r="AD138" s="10">
        <f t="shared" si="77"/>
        <v>1.1531759441163378</v>
      </c>
      <c r="AE138" s="10">
        <f t="shared" si="78"/>
        <v>1.1531759441163378</v>
      </c>
      <c r="AF138" s="10">
        <f t="shared" si="79"/>
        <v>1.1531759441163378</v>
      </c>
      <c r="AG138" s="10">
        <f t="shared" si="80"/>
        <v>0.34107579462102683</v>
      </c>
      <c r="AH138" s="10">
        <f t="shared" si="81"/>
        <v>0.34107579462102683</v>
      </c>
      <c r="AI138" s="10">
        <f t="shared" si="81"/>
        <v>0.34107579462102683</v>
      </c>
      <c r="AJ138" s="10">
        <f t="shared" si="81"/>
        <v>0.34107579462102683</v>
      </c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</row>
    <row r="139" spans="1:61" s="7" customFormat="1" x14ac:dyDescent="0.3">
      <c r="A139" s="7" t="s">
        <v>122</v>
      </c>
      <c r="B139" s="11">
        <v>2245.3787071036054</v>
      </c>
      <c r="C139" s="11">
        <v>0</v>
      </c>
      <c r="D139" s="11">
        <v>0</v>
      </c>
      <c r="E139" s="10">
        <f t="shared" si="47"/>
        <v>19.739167250573018</v>
      </c>
      <c r="F139" s="10">
        <f t="shared" si="48"/>
        <v>403.79044967254009</v>
      </c>
      <c r="G139" s="10">
        <f t="shared" si="49"/>
        <v>3610.6378193029491</v>
      </c>
      <c r="H139" s="10">
        <f t="shared" si="41"/>
        <v>8.78399915486959E-3</v>
      </c>
      <c r="I139" s="10">
        <f t="shared" si="42"/>
        <v>3.4588317916281551E-2</v>
      </c>
      <c r="J139" s="10">
        <f t="shared" si="43"/>
        <v>4.3707691961792188</v>
      </c>
      <c r="K139" s="10">
        <f t="shared" si="44"/>
        <v>4.0416816727864902</v>
      </c>
      <c r="L139" s="10">
        <f t="shared" si="45"/>
        <v>0</v>
      </c>
      <c r="M139" s="10">
        <f t="shared" si="46"/>
        <v>0</v>
      </c>
      <c r="N139" s="5">
        <v>101087.2785</v>
      </c>
      <c r="O139" s="11">
        <f t="shared" si="75"/>
        <v>106728.65</v>
      </c>
      <c r="P139" s="12">
        <v>42.402000000000001</v>
      </c>
      <c r="Q139" s="11">
        <v>135910</v>
      </c>
      <c r="R139" s="7">
        <v>6.4160000000000004</v>
      </c>
      <c r="S139" s="12"/>
      <c r="T139" s="10">
        <f t="shared" si="67"/>
        <v>1.273416275761007</v>
      </c>
      <c r="U139" s="10">
        <f t="shared" si="68"/>
        <v>3</v>
      </c>
      <c r="V139" s="10">
        <f t="shared" si="69"/>
        <v>3</v>
      </c>
      <c r="W139" s="10">
        <f t="shared" si="70"/>
        <v>3</v>
      </c>
      <c r="X139" s="10">
        <f t="shared" si="71"/>
        <v>0.15131361728220369</v>
      </c>
      <c r="Y139" s="10">
        <f t="shared" si="72"/>
        <v>1</v>
      </c>
      <c r="Z139" s="10">
        <f t="shared" si="73"/>
        <v>1</v>
      </c>
      <c r="AA139" s="10">
        <f t="shared" si="74"/>
        <v>1</v>
      </c>
      <c r="AB139" s="12"/>
      <c r="AC139" s="10">
        <f t="shared" si="76"/>
        <v>1.273416275761007</v>
      </c>
      <c r="AD139" s="10">
        <f t="shared" si="77"/>
        <v>1.2736012229823068</v>
      </c>
      <c r="AE139" s="10">
        <f t="shared" si="78"/>
        <v>1.277199612753207</v>
      </c>
      <c r="AF139" s="10">
        <f t="shared" si="79"/>
        <v>1.3072463468740863</v>
      </c>
      <c r="AG139" s="10">
        <f t="shared" si="80"/>
        <v>0.15131361728220369</v>
      </c>
      <c r="AH139" s="10">
        <f t="shared" si="81"/>
        <v>0.15152077730189306</v>
      </c>
      <c r="AI139" s="10">
        <f t="shared" si="81"/>
        <v>0.15212934101967551</v>
      </c>
      <c r="AJ139" s="10">
        <f t="shared" si="81"/>
        <v>0.25439293420544357</v>
      </c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</row>
    <row r="140" spans="1:61" s="7" customFormat="1" x14ac:dyDescent="0.3">
      <c r="A140" s="7" t="s">
        <v>161</v>
      </c>
      <c r="B140" s="11">
        <v>24030.808905456648</v>
      </c>
      <c r="C140" s="11">
        <v>17902.790279027915</v>
      </c>
      <c r="D140" s="11">
        <v>19628.836545324772</v>
      </c>
      <c r="E140" s="10">
        <f t="shared" si="47"/>
        <v>1458.9714166043525</v>
      </c>
      <c r="F140" s="10">
        <f t="shared" si="48"/>
        <v>24333.724456175732</v>
      </c>
      <c r="G140" s="10">
        <f t="shared" si="49"/>
        <v>137256.31383533141</v>
      </c>
      <c r="H140" s="10">
        <f t="shared" si="41"/>
        <v>0.37762617389025954</v>
      </c>
      <c r="I140" s="10">
        <f t="shared" si="42"/>
        <v>2.2116210521916062</v>
      </c>
      <c r="J140" s="10">
        <f t="shared" si="43"/>
        <v>160.12724960333247</v>
      </c>
      <c r="K140" s="10">
        <f t="shared" si="44"/>
        <v>148.23000635423347</v>
      </c>
      <c r="L140" s="10">
        <f t="shared" si="45"/>
        <v>0</v>
      </c>
      <c r="M140" s="10">
        <f t="shared" si="46"/>
        <v>0</v>
      </c>
      <c r="N140" s="5">
        <v>4974073.9620000012</v>
      </c>
      <c r="O140" s="11">
        <f t="shared" si="75"/>
        <v>5251661.8000000007</v>
      </c>
      <c r="P140" s="12">
        <v>905.08899999999994</v>
      </c>
      <c r="Q140" s="11">
        <v>2154940</v>
      </c>
      <c r="R140" s="7">
        <v>64.819999999999993</v>
      </c>
      <c r="S140" s="12"/>
      <c r="T140" s="10">
        <f t="shared" si="67"/>
        <v>0.41033487723828671</v>
      </c>
      <c r="U140" s="10">
        <f t="shared" si="68"/>
        <v>1</v>
      </c>
      <c r="V140" s="10">
        <f t="shared" si="69"/>
        <v>1</v>
      </c>
      <c r="W140" s="10">
        <f t="shared" si="70"/>
        <v>1</v>
      </c>
      <c r="X140" s="10">
        <f t="shared" si="71"/>
        <v>7.1617266368279808E-2</v>
      </c>
      <c r="Y140" s="10">
        <f t="shared" si="72"/>
        <v>1</v>
      </c>
      <c r="Z140" s="10">
        <f t="shared" si="73"/>
        <v>1</v>
      </c>
      <c r="AA140" s="10">
        <f t="shared" si="74"/>
        <v>1</v>
      </c>
      <c r="AB140" s="12"/>
      <c r="AC140" s="10">
        <f t="shared" si="76"/>
        <v>0.41033487723828671</v>
      </c>
      <c r="AD140" s="10">
        <f t="shared" si="77"/>
        <v>0.41061268861917266</v>
      </c>
      <c r="AE140" s="10">
        <f t="shared" si="78"/>
        <v>0.41496840570658516</v>
      </c>
      <c r="AF140" s="10">
        <f t="shared" si="79"/>
        <v>0.43647066416868863</v>
      </c>
      <c r="AG140" s="10">
        <f t="shared" si="80"/>
        <v>7.1617266368279808E-2</v>
      </c>
      <c r="AH140" s="10">
        <f t="shared" si="81"/>
        <v>7.2034491827754246E-2</v>
      </c>
      <c r="AI140" s="10">
        <f t="shared" si="81"/>
        <v>7.4060806232526963E-2</v>
      </c>
      <c r="AJ140" s="10">
        <f t="shared" si="81"/>
        <v>0.24853605513196214</v>
      </c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</row>
    <row r="141" spans="1:61" s="7" customFormat="1" x14ac:dyDescent="0.3">
      <c r="A141" s="7" t="s">
        <v>123</v>
      </c>
      <c r="B141" s="11">
        <v>0</v>
      </c>
      <c r="C141" s="11">
        <v>0</v>
      </c>
      <c r="D141" s="11">
        <v>0</v>
      </c>
      <c r="E141" s="10">
        <f t="shared" si="47"/>
        <v>0</v>
      </c>
      <c r="F141" s="10">
        <f t="shared" si="48"/>
        <v>0</v>
      </c>
      <c r="G141" s="10">
        <f t="shared" si="49"/>
        <v>0</v>
      </c>
      <c r="H141" s="10">
        <f t="shared" si="41"/>
        <v>0</v>
      </c>
      <c r="I141" s="10">
        <f t="shared" si="42"/>
        <v>0</v>
      </c>
      <c r="J141" s="10">
        <f t="shared" si="43"/>
        <v>0</v>
      </c>
      <c r="K141" s="10">
        <f t="shared" si="44"/>
        <v>0</v>
      </c>
      <c r="L141" s="10">
        <f t="shared" si="45"/>
        <v>0</v>
      </c>
      <c r="M141" s="10">
        <f t="shared" si="46"/>
        <v>0</v>
      </c>
      <c r="N141" s="5">
        <v>13419.12</v>
      </c>
      <c r="O141" s="11">
        <f t="shared" si="75"/>
        <v>14168</v>
      </c>
      <c r="P141" s="12">
        <v>2.66</v>
      </c>
      <c r="Q141" s="11">
        <v>18117</v>
      </c>
      <c r="R141" s="7">
        <v>0.18390000000000001</v>
      </c>
      <c r="S141" s="12"/>
      <c r="T141" s="10">
        <f t="shared" si="67"/>
        <v>1.2787267080745341</v>
      </c>
      <c r="U141" s="10">
        <f t="shared" si="68"/>
        <v>3</v>
      </c>
      <c r="V141" s="10">
        <f t="shared" si="69"/>
        <v>3</v>
      </c>
      <c r="W141" s="10">
        <f t="shared" si="70"/>
        <v>3</v>
      </c>
      <c r="X141" s="10">
        <f t="shared" si="71"/>
        <v>6.9135338345864661E-2</v>
      </c>
      <c r="Y141" s="10">
        <f t="shared" si="72"/>
        <v>1</v>
      </c>
      <c r="Z141" s="10">
        <f t="shared" si="73"/>
        <v>1</v>
      </c>
      <c r="AA141" s="10">
        <f t="shared" si="74"/>
        <v>1</v>
      </c>
      <c r="AB141" s="12"/>
      <c r="AC141" s="10">
        <f t="shared" si="76"/>
        <v>1.2787267080745341</v>
      </c>
      <c r="AD141" s="10">
        <f t="shared" si="77"/>
        <v>1.2787267080745341</v>
      </c>
      <c r="AE141" s="10">
        <f t="shared" si="78"/>
        <v>1.2787267080745341</v>
      </c>
      <c r="AF141" s="10">
        <f t="shared" si="79"/>
        <v>1.2787267080745341</v>
      </c>
      <c r="AG141" s="10">
        <f t="shared" si="80"/>
        <v>6.9135338345864661E-2</v>
      </c>
      <c r="AH141" s="10">
        <f t="shared" si="81"/>
        <v>6.9135338345864661E-2</v>
      </c>
      <c r="AI141" s="10">
        <f t="shared" si="81"/>
        <v>6.9135338345864661E-2</v>
      </c>
      <c r="AJ141" s="10">
        <f t="shared" si="81"/>
        <v>6.9135338345864661E-2</v>
      </c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</row>
    <row r="142" spans="1:61" s="7" customFormat="1" x14ac:dyDescent="0.3">
      <c r="A142" s="7" t="s">
        <v>124</v>
      </c>
      <c r="B142" s="11">
        <v>0</v>
      </c>
      <c r="C142" s="11">
        <v>0</v>
      </c>
      <c r="D142" s="11">
        <v>0</v>
      </c>
      <c r="E142" s="10">
        <f t="shared" si="47"/>
        <v>0</v>
      </c>
      <c r="F142" s="10">
        <f t="shared" si="48"/>
        <v>0</v>
      </c>
      <c r="G142" s="10">
        <f t="shared" si="49"/>
        <v>0</v>
      </c>
      <c r="H142" s="10">
        <f t="shared" si="41"/>
        <v>0</v>
      </c>
      <c r="I142" s="10">
        <f t="shared" si="42"/>
        <v>0</v>
      </c>
      <c r="J142" s="10">
        <f t="shared" si="43"/>
        <v>0</v>
      </c>
      <c r="K142" s="10">
        <f t="shared" si="44"/>
        <v>0</v>
      </c>
      <c r="L142" s="10">
        <f t="shared" si="45"/>
        <v>0</v>
      </c>
      <c r="M142" s="10">
        <f t="shared" si="46"/>
        <v>0</v>
      </c>
      <c r="N142" s="5">
        <v>99.45</v>
      </c>
      <c r="O142" s="11">
        <f t="shared" si="75"/>
        <v>105</v>
      </c>
      <c r="P142" s="12">
        <v>4.8000000000000004E-3</v>
      </c>
      <c r="Q142" s="11">
        <v>60</v>
      </c>
      <c r="R142" s="7">
        <v>1.2200000000000001E-2</v>
      </c>
      <c r="S142" s="12"/>
      <c r="T142" s="10">
        <f t="shared" si="67"/>
        <v>0.5714285714285714</v>
      </c>
      <c r="U142" s="10">
        <f t="shared" si="68"/>
        <v>1</v>
      </c>
      <c r="V142" s="10">
        <f t="shared" si="69"/>
        <v>1</v>
      </c>
      <c r="W142" s="10">
        <f t="shared" si="70"/>
        <v>1</v>
      </c>
      <c r="X142" s="10">
        <f t="shared" si="71"/>
        <v>2.5416666666666665</v>
      </c>
      <c r="Y142" s="10">
        <f t="shared" si="72"/>
        <v>3</v>
      </c>
      <c r="Z142" s="10">
        <f t="shared" si="73"/>
        <v>3</v>
      </c>
      <c r="AA142" s="10">
        <f t="shared" si="74"/>
        <v>3</v>
      </c>
      <c r="AB142" s="12"/>
      <c r="AC142" s="10">
        <f t="shared" si="76"/>
        <v>0.5714285714285714</v>
      </c>
      <c r="AD142" s="10">
        <f t="shared" si="77"/>
        <v>0.5714285714285714</v>
      </c>
      <c r="AE142" s="10">
        <f t="shared" si="78"/>
        <v>0.5714285714285714</v>
      </c>
      <c r="AF142" s="10">
        <f t="shared" si="79"/>
        <v>0.5714285714285714</v>
      </c>
      <c r="AG142" s="10">
        <f t="shared" si="80"/>
        <v>2.5416666666666665</v>
      </c>
      <c r="AH142" s="10">
        <f t="shared" si="81"/>
        <v>2.5416666666666665</v>
      </c>
      <c r="AI142" s="10">
        <f t="shared" si="81"/>
        <v>2.5416666666666665</v>
      </c>
      <c r="AJ142" s="10">
        <f t="shared" si="81"/>
        <v>2.5416666666666665</v>
      </c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</row>
    <row r="143" spans="1:61" s="7" customFormat="1" x14ac:dyDescent="0.3">
      <c r="A143" s="7" t="s">
        <v>125</v>
      </c>
      <c r="B143" s="11">
        <v>0</v>
      </c>
      <c r="C143" s="11">
        <v>0</v>
      </c>
      <c r="D143" s="11">
        <v>0</v>
      </c>
      <c r="E143" s="10">
        <f t="shared" si="47"/>
        <v>0</v>
      </c>
      <c r="F143" s="10">
        <f t="shared" si="48"/>
        <v>0</v>
      </c>
      <c r="G143" s="10">
        <f t="shared" si="49"/>
        <v>0</v>
      </c>
      <c r="H143" s="10">
        <f t="shared" si="41"/>
        <v>0</v>
      </c>
      <c r="I143" s="10">
        <f t="shared" si="42"/>
        <v>0</v>
      </c>
      <c r="J143" s="10">
        <f t="shared" si="43"/>
        <v>0</v>
      </c>
      <c r="K143" s="10">
        <f t="shared" si="44"/>
        <v>0</v>
      </c>
      <c r="L143" s="10">
        <f t="shared" si="45"/>
        <v>0</v>
      </c>
      <c r="M143" s="10">
        <f t="shared" si="46"/>
        <v>0</v>
      </c>
      <c r="N143" s="5">
        <v>260.0949</v>
      </c>
      <c r="O143" s="11">
        <f t="shared" si="75"/>
        <v>274.60999999999996</v>
      </c>
      <c r="P143" s="12">
        <v>0.06</v>
      </c>
      <c r="Q143" s="11">
        <v>99.399999999999991</v>
      </c>
      <c r="R143" s="7">
        <v>4.2900000000000001E-2</v>
      </c>
      <c r="S143" s="12"/>
      <c r="T143" s="10">
        <f t="shared" si="67"/>
        <v>0.36196788172317107</v>
      </c>
      <c r="U143" s="10">
        <f t="shared" si="68"/>
        <v>1</v>
      </c>
      <c r="V143" s="10">
        <f t="shared" si="69"/>
        <v>1</v>
      </c>
      <c r="W143" s="10">
        <f t="shared" si="70"/>
        <v>1</v>
      </c>
      <c r="X143" s="10">
        <f t="shared" si="71"/>
        <v>0.71500000000000008</v>
      </c>
      <c r="Y143" s="10">
        <f t="shared" si="72"/>
        <v>1</v>
      </c>
      <c r="Z143" s="10">
        <f t="shared" si="73"/>
        <v>1</v>
      </c>
      <c r="AA143" s="10">
        <f t="shared" si="74"/>
        <v>1</v>
      </c>
      <c r="AB143" s="12"/>
      <c r="AC143" s="10">
        <f t="shared" si="76"/>
        <v>0.36196788172317107</v>
      </c>
      <c r="AD143" s="10">
        <f t="shared" si="77"/>
        <v>0.36196788172317107</v>
      </c>
      <c r="AE143" s="10">
        <f t="shared" si="78"/>
        <v>0.36196788172317107</v>
      </c>
      <c r="AF143" s="10">
        <f t="shared" si="79"/>
        <v>0.36196788172317107</v>
      </c>
      <c r="AG143" s="10">
        <f t="shared" si="80"/>
        <v>0.71500000000000008</v>
      </c>
      <c r="AH143" s="10">
        <f t="shared" si="81"/>
        <v>0.71500000000000008</v>
      </c>
      <c r="AI143" s="10">
        <f t="shared" si="81"/>
        <v>0.71500000000000008</v>
      </c>
      <c r="AJ143" s="10">
        <f t="shared" si="81"/>
        <v>0.71500000000000008</v>
      </c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</row>
    <row r="144" spans="1:61" s="7" customFormat="1" x14ac:dyDescent="0.3">
      <c r="A144" s="7" t="s">
        <v>126</v>
      </c>
      <c r="B144" s="11">
        <v>0</v>
      </c>
      <c r="C144" s="11">
        <v>0</v>
      </c>
      <c r="D144" s="11">
        <v>0</v>
      </c>
      <c r="E144" s="10">
        <f t="shared" si="47"/>
        <v>0</v>
      </c>
      <c r="F144" s="10">
        <f t="shared" si="48"/>
        <v>0</v>
      </c>
      <c r="G144" s="10">
        <f t="shared" si="49"/>
        <v>0</v>
      </c>
      <c r="H144" s="10">
        <f t="shared" ref="H144:H183" si="82">($B144/1000*AO$5+$C144/1000*AO$6+$D144/1000*AO$7)/1000</f>
        <v>0</v>
      </c>
      <c r="I144" s="10">
        <f t="shared" ref="I144:I183" si="83">($B144/1000*AP$5+$C144/1000*AP$6+$D144/1000*AP$7)/1000</f>
        <v>0</v>
      </c>
      <c r="J144" s="10">
        <f t="shared" ref="J144:J183" si="84">($B144/1000*AQ$5+$C144/1000*AQ$6+$D144/1000*AQ$7)/1000</f>
        <v>0</v>
      </c>
      <c r="K144" s="10">
        <f t="shared" ref="K144:K183" si="85">$B144/1000*AO$8+$C144/1000*AO$9+$D144/1000*AO$10</f>
        <v>0</v>
      </c>
      <c r="L144" s="10">
        <f t="shared" ref="L144:L183" si="86">$B144/1000*AP$8+$C144/1000*AP$9+$D144/1000*AP$10</f>
        <v>0</v>
      </c>
      <c r="M144" s="10">
        <f t="shared" ref="M144:M183" si="87">$B144/1000*AQ$8+$C144/1000*AQ$9+$D144/1000*AQ$10</f>
        <v>0</v>
      </c>
      <c r="N144" s="5">
        <v>764.63790000000017</v>
      </c>
      <c r="O144" s="11">
        <f t="shared" si="75"/>
        <v>807.31000000000006</v>
      </c>
      <c r="P144" s="12">
        <v>0.1</v>
      </c>
      <c r="Q144" s="11">
        <v>494.09999999999997</v>
      </c>
      <c r="R144" s="7">
        <v>0</v>
      </c>
      <c r="S144" s="12"/>
      <c r="T144" s="10">
        <f t="shared" si="67"/>
        <v>0.61203255255106459</v>
      </c>
      <c r="U144" s="10">
        <f t="shared" si="68"/>
        <v>1</v>
      </c>
      <c r="V144" s="10">
        <f t="shared" si="69"/>
        <v>1</v>
      </c>
      <c r="W144" s="10">
        <f t="shared" si="70"/>
        <v>1</v>
      </c>
      <c r="X144" s="10">
        <f t="shared" si="71"/>
        <v>0</v>
      </c>
      <c r="Y144" s="10">
        <f t="shared" si="72"/>
        <v>1</v>
      </c>
      <c r="Z144" s="10">
        <f t="shared" si="73"/>
        <v>1</v>
      </c>
      <c r="AA144" s="10">
        <f t="shared" si="74"/>
        <v>1</v>
      </c>
      <c r="AB144" s="12"/>
      <c r="AC144" s="10">
        <f t="shared" si="76"/>
        <v>0.61203255255106459</v>
      </c>
      <c r="AD144" s="10">
        <f t="shared" si="77"/>
        <v>0.61203255255106459</v>
      </c>
      <c r="AE144" s="10">
        <f t="shared" si="78"/>
        <v>0.61203255255106459</v>
      </c>
      <c r="AF144" s="10">
        <f t="shared" si="79"/>
        <v>0.61203255255106459</v>
      </c>
      <c r="AG144" s="10">
        <v>0</v>
      </c>
      <c r="AH144" s="10">
        <f t="shared" si="81"/>
        <v>0</v>
      </c>
      <c r="AI144" s="10">
        <f t="shared" si="81"/>
        <v>0</v>
      </c>
      <c r="AJ144" s="10">
        <f t="shared" si="81"/>
        <v>0</v>
      </c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</row>
    <row r="145" spans="1:61" s="7" customFormat="1" x14ac:dyDescent="0.3">
      <c r="A145" s="7" t="s">
        <v>127</v>
      </c>
      <c r="B145" s="11">
        <v>6458.2798933414733</v>
      </c>
      <c r="C145" s="11">
        <v>28352.835283528366</v>
      </c>
      <c r="D145" s="11">
        <v>14955.304034533156</v>
      </c>
      <c r="E145" s="10">
        <f t="shared" ref="E145:E183" si="88">$B145/1000*AO$2+$C145/1000*AO$3+$D145/1000*AO$4</f>
        <v>1295.4533123978215</v>
      </c>
      <c r="F145" s="10">
        <f t="shared" ref="F145:F183" si="89">$B145/1000*AP$2+$C145/1000*AP$3+$D145/1000*AP$4</f>
        <v>19552.7846542033</v>
      </c>
      <c r="G145" s="10">
        <f t="shared" ref="G145:G183" si="90">$B145/1000*AQ$2+$C145/1000*AQ$3+$D145/1000*AQ$4</f>
        <v>115265.19656832766</v>
      </c>
      <c r="H145" s="10">
        <f t="shared" si="82"/>
        <v>0.31846024730822353</v>
      </c>
      <c r="I145" s="10">
        <f t="shared" si="83"/>
        <v>1.8098122243797889</v>
      </c>
      <c r="J145" s="10">
        <f t="shared" si="84"/>
        <v>134.74404388600686</v>
      </c>
      <c r="K145" s="10">
        <f t="shared" si="85"/>
        <v>122.06062480440309</v>
      </c>
      <c r="L145" s="10">
        <f t="shared" si="86"/>
        <v>0</v>
      </c>
      <c r="M145" s="10">
        <f t="shared" si="87"/>
        <v>0</v>
      </c>
      <c r="N145" s="5">
        <v>1418766.96</v>
      </c>
      <c r="O145" s="11">
        <f t="shared" si="75"/>
        <v>1497944</v>
      </c>
      <c r="P145" s="12">
        <v>0.48</v>
      </c>
      <c r="Q145" s="11">
        <v>1735959.1690000002</v>
      </c>
      <c r="R145" s="7">
        <v>24</v>
      </c>
      <c r="S145" s="12"/>
      <c r="T145" s="10">
        <f t="shared" si="67"/>
        <v>1.1588945708250777</v>
      </c>
      <c r="U145" s="10">
        <f t="shared" si="68"/>
        <v>3</v>
      </c>
      <c r="V145" s="10">
        <f t="shared" si="69"/>
        <v>3</v>
      </c>
      <c r="W145" s="10">
        <f t="shared" si="70"/>
        <v>3</v>
      </c>
      <c r="X145" s="10">
        <f t="shared" si="71"/>
        <v>50</v>
      </c>
      <c r="Y145" s="10">
        <f t="shared" si="72"/>
        <v>3</v>
      </c>
      <c r="Z145" s="10">
        <f t="shared" si="73"/>
        <v>3</v>
      </c>
      <c r="AA145" s="10">
        <f t="shared" si="74"/>
        <v>5</v>
      </c>
      <c r="AB145" s="12"/>
      <c r="AC145" s="10">
        <f t="shared" si="76"/>
        <v>1.1588945708250777</v>
      </c>
      <c r="AD145" s="10">
        <f t="shared" si="77"/>
        <v>1.1597593917478879</v>
      </c>
      <c r="AE145" s="10">
        <f t="shared" si="78"/>
        <v>1.1719476520178349</v>
      </c>
      <c r="AF145" s="10">
        <f t="shared" si="79"/>
        <v>1.2358435065451898</v>
      </c>
      <c r="AG145" s="10">
        <f t="shared" si="80"/>
        <v>50</v>
      </c>
      <c r="AH145" s="10">
        <f t="shared" si="81"/>
        <v>50.663458848558804</v>
      </c>
      <c r="AI145" s="10">
        <f t="shared" si="81"/>
        <v>53.770442134124565</v>
      </c>
      <c r="AJ145" s="10">
        <f t="shared" si="81"/>
        <v>330.71675809584764</v>
      </c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</row>
    <row r="146" spans="1:61" s="7" customFormat="1" x14ac:dyDescent="0.3">
      <c r="A146" s="7" t="s">
        <v>128</v>
      </c>
      <c r="B146" s="11">
        <v>34.67169504758963</v>
      </c>
      <c r="C146" s="11">
        <v>0</v>
      </c>
      <c r="D146" s="11">
        <v>0</v>
      </c>
      <c r="E146" s="10">
        <f t="shared" si="88"/>
        <v>0.30479953570418222</v>
      </c>
      <c r="F146" s="10">
        <f t="shared" si="89"/>
        <v>6.2350726360252287</v>
      </c>
      <c r="G146" s="10">
        <f t="shared" si="90"/>
        <v>55.753148901838919</v>
      </c>
      <c r="H146" s="10">
        <f t="shared" si="82"/>
        <v>1.3563687008895766E-4</v>
      </c>
      <c r="I146" s="10">
        <f t="shared" si="83"/>
        <v>5.3409057777577826E-4</v>
      </c>
      <c r="J146" s="10">
        <f t="shared" si="84"/>
        <v>6.7490609140408095E-2</v>
      </c>
      <c r="K146" s="10">
        <f t="shared" si="85"/>
        <v>6.2409051085661332E-2</v>
      </c>
      <c r="L146" s="10">
        <f t="shared" si="86"/>
        <v>0</v>
      </c>
      <c r="M146" s="10">
        <f t="shared" si="87"/>
        <v>0</v>
      </c>
      <c r="N146" s="5">
        <v>71384.1492</v>
      </c>
      <c r="O146" s="11">
        <f t="shared" si="75"/>
        <v>75367.87999999999</v>
      </c>
      <c r="P146" s="12">
        <v>7.7940000000000005</v>
      </c>
      <c r="Q146" s="11">
        <v>88780</v>
      </c>
      <c r="R146" s="7">
        <v>2.2209500000000002</v>
      </c>
      <c r="S146" s="12"/>
      <c r="T146" s="10">
        <f t="shared" si="67"/>
        <v>1.17795538364619</v>
      </c>
      <c r="U146" s="10">
        <f t="shared" si="68"/>
        <v>3</v>
      </c>
      <c r="V146" s="10">
        <f t="shared" si="69"/>
        <v>3</v>
      </c>
      <c r="W146" s="10">
        <f t="shared" si="70"/>
        <v>3</v>
      </c>
      <c r="X146" s="10">
        <f t="shared" si="71"/>
        <v>0.28495637670002566</v>
      </c>
      <c r="Y146" s="10">
        <f t="shared" si="72"/>
        <v>1</v>
      </c>
      <c r="Z146" s="10">
        <f t="shared" si="73"/>
        <v>1</v>
      </c>
      <c r="AA146" s="10">
        <f t="shared" si="74"/>
        <v>1</v>
      </c>
      <c r="AB146" s="12"/>
      <c r="AC146" s="10">
        <f t="shared" si="76"/>
        <v>1.17795538364619</v>
      </c>
      <c r="AD146" s="10">
        <f t="shared" si="77"/>
        <v>1.17795942780314</v>
      </c>
      <c r="AE146" s="10">
        <f t="shared" si="78"/>
        <v>1.1780381121591326</v>
      </c>
      <c r="AF146" s="10">
        <f t="shared" si="79"/>
        <v>1.1786951304574556</v>
      </c>
      <c r="AG146" s="10">
        <f t="shared" si="80"/>
        <v>0.28495637670002566</v>
      </c>
      <c r="AH146" s="10">
        <f t="shared" si="81"/>
        <v>0.28497377942905938</v>
      </c>
      <c r="AI146" s="10">
        <f t="shared" si="81"/>
        <v>0.28502490256322505</v>
      </c>
      <c r="AJ146" s="10">
        <f t="shared" si="81"/>
        <v>0.29361567989997539</v>
      </c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</row>
    <row r="147" spans="1:61" s="7" customFormat="1" x14ac:dyDescent="0.3">
      <c r="A147" s="7" t="s">
        <v>129</v>
      </c>
      <c r="B147" s="11">
        <v>150.26574705573987</v>
      </c>
      <c r="C147" s="11">
        <v>0</v>
      </c>
      <c r="D147" s="11">
        <v>0</v>
      </c>
      <c r="E147" s="10">
        <f t="shared" si="88"/>
        <v>1.3209890624604945</v>
      </c>
      <c r="F147" s="10">
        <f t="shared" si="89"/>
        <v>27.022556766063463</v>
      </c>
      <c r="G147" s="10">
        <f t="shared" si="90"/>
        <v>241.63192941520609</v>
      </c>
      <c r="H147" s="10">
        <f t="shared" si="82"/>
        <v>5.8784479917247333E-4</v>
      </c>
      <c r="I147" s="10">
        <f t="shared" si="83"/>
        <v>2.3147273173334051E-3</v>
      </c>
      <c r="J147" s="10">
        <f t="shared" si="84"/>
        <v>0.29250161515929129</v>
      </c>
      <c r="K147" s="10">
        <f t="shared" si="85"/>
        <v>0.27047834470033177</v>
      </c>
      <c r="L147" s="10">
        <f t="shared" si="86"/>
        <v>0</v>
      </c>
      <c r="M147" s="10">
        <f t="shared" si="87"/>
        <v>0</v>
      </c>
      <c r="N147" s="5">
        <v>39338.110499999995</v>
      </c>
      <c r="O147" s="11">
        <f t="shared" si="75"/>
        <v>41533.44999999999</v>
      </c>
      <c r="P147" s="12">
        <v>32.44</v>
      </c>
      <c r="Q147" s="11">
        <v>35040</v>
      </c>
      <c r="R147" s="7">
        <v>5.5575000000000001</v>
      </c>
      <c r="S147" s="12"/>
      <c r="T147" s="10">
        <f t="shared" si="67"/>
        <v>0.84365734125144931</v>
      </c>
      <c r="U147" s="10">
        <f t="shared" si="68"/>
        <v>1</v>
      </c>
      <c r="V147" s="10">
        <f t="shared" si="69"/>
        <v>1</v>
      </c>
      <c r="W147" s="10">
        <f t="shared" si="70"/>
        <v>1</v>
      </c>
      <c r="X147" s="10">
        <f t="shared" si="71"/>
        <v>0.17131627620221951</v>
      </c>
      <c r="Y147" s="10">
        <f t="shared" si="72"/>
        <v>1</v>
      </c>
      <c r="Z147" s="10">
        <f t="shared" si="73"/>
        <v>1</v>
      </c>
      <c r="AA147" s="10">
        <f t="shared" si="74"/>
        <v>1</v>
      </c>
      <c r="AB147" s="12"/>
      <c r="AC147" s="10">
        <f t="shared" si="76"/>
        <v>0.84365734125144931</v>
      </c>
      <c r="AD147" s="10">
        <f t="shared" si="77"/>
        <v>0.84368914667725581</v>
      </c>
      <c r="AE147" s="10">
        <f t="shared" si="78"/>
        <v>0.84430796278098907</v>
      </c>
      <c r="AF147" s="10">
        <f t="shared" si="79"/>
        <v>0.84947510812165172</v>
      </c>
      <c r="AG147" s="10">
        <f t="shared" si="80"/>
        <v>0.17131627620221951</v>
      </c>
      <c r="AH147" s="10">
        <f t="shared" si="81"/>
        <v>0.17133439718863047</v>
      </c>
      <c r="AI147" s="10">
        <f t="shared" si="81"/>
        <v>0.17138763031187837</v>
      </c>
      <c r="AJ147" s="10">
        <f t="shared" si="81"/>
        <v>0.18033297210725313</v>
      </c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</row>
    <row r="148" spans="1:61" s="7" customFormat="1" x14ac:dyDescent="0.3">
      <c r="A148" s="7" t="s">
        <v>130</v>
      </c>
      <c r="B148" s="11">
        <v>0</v>
      </c>
      <c r="C148" s="11">
        <v>0</v>
      </c>
      <c r="D148" s="11">
        <v>0</v>
      </c>
      <c r="E148" s="10">
        <f t="shared" si="88"/>
        <v>0</v>
      </c>
      <c r="F148" s="10">
        <f t="shared" si="89"/>
        <v>0</v>
      </c>
      <c r="G148" s="10">
        <f t="shared" si="90"/>
        <v>0</v>
      </c>
      <c r="H148" s="10">
        <f t="shared" si="82"/>
        <v>0</v>
      </c>
      <c r="I148" s="10">
        <f t="shared" si="83"/>
        <v>0</v>
      </c>
      <c r="J148" s="10">
        <f t="shared" si="84"/>
        <v>0</v>
      </c>
      <c r="K148" s="10">
        <f t="shared" si="85"/>
        <v>0</v>
      </c>
      <c r="L148" s="10">
        <f t="shared" si="86"/>
        <v>0</v>
      </c>
      <c r="M148" s="10">
        <f t="shared" si="87"/>
        <v>0</v>
      </c>
      <c r="N148" s="5">
        <v>81.548999999999992</v>
      </c>
      <c r="O148" s="11">
        <f t="shared" si="75"/>
        <v>86.09999999999998</v>
      </c>
      <c r="P148" s="12">
        <v>1.0999999999999999E-2</v>
      </c>
      <c r="Q148" s="11">
        <v>15.5</v>
      </c>
      <c r="R148" s="7">
        <v>1.1294E-2</v>
      </c>
      <c r="S148" s="12"/>
      <c r="T148" s="10">
        <f t="shared" si="67"/>
        <v>0.18002322880371666</v>
      </c>
      <c r="U148" s="10">
        <f t="shared" si="68"/>
        <v>1</v>
      </c>
      <c r="V148" s="10">
        <f t="shared" si="69"/>
        <v>1</v>
      </c>
      <c r="W148" s="10">
        <f t="shared" si="70"/>
        <v>1</v>
      </c>
      <c r="X148" s="10">
        <f t="shared" si="71"/>
        <v>1.0267272727272727</v>
      </c>
      <c r="Y148" s="10">
        <f t="shared" si="72"/>
        <v>3</v>
      </c>
      <c r="Z148" s="10">
        <f t="shared" si="73"/>
        <v>3</v>
      </c>
      <c r="AA148" s="10">
        <f t="shared" si="74"/>
        <v>3</v>
      </c>
      <c r="AB148" s="12"/>
      <c r="AC148" s="10">
        <f t="shared" si="76"/>
        <v>0.18002322880371666</v>
      </c>
      <c r="AD148" s="10">
        <f t="shared" si="77"/>
        <v>0.18002322880371666</v>
      </c>
      <c r="AE148" s="10">
        <f t="shared" si="78"/>
        <v>0.18002322880371666</v>
      </c>
      <c r="AF148" s="10">
        <f t="shared" si="79"/>
        <v>0.18002322880371666</v>
      </c>
      <c r="AG148" s="10">
        <f t="shared" si="80"/>
        <v>1.0267272727272727</v>
      </c>
      <c r="AH148" s="10">
        <f t="shared" si="81"/>
        <v>1.0267272727272727</v>
      </c>
      <c r="AI148" s="10">
        <f t="shared" si="81"/>
        <v>1.0267272727272727</v>
      </c>
      <c r="AJ148" s="10">
        <f t="shared" si="81"/>
        <v>1.0267272727272727</v>
      </c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</row>
    <row r="149" spans="1:61" s="7" customFormat="1" x14ac:dyDescent="0.3">
      <c r="A149" s="7" t="s">
        <v>203</v>
      </c>
      <c r="B149" s="11">
        <v>0</v>
      </c>
      <c r="C149" s="11">
        <v>0</v>
      </c>
      <c r="D149" s="11">
        <v>0</v>
      </c>
      <c r="E149" s="10">
        <f t="shared" si="88"/>
        <v>0</v>
      </c>
      <c r="F149" s="10">
        <f t="shared" si="89"/>
        <v>0</v>
      </c>
      <c r="G149" s="10">
        <f t="shared" si="90"/>
        <v>0</v>
      </c>
      <c r="H149" s="10">
        <f t="shared" si="82"/>
        <v>0</v>
      </c>
      <c r="I149" s="10">
        <f t="shared" si="83"/>
        <v>0</v>
      </c>
      <c r="J149" s="10">
        <f t="shared" si="84"/>
        <v>0</v>
      </c>
      <c r="K149" s="10">
        <f t="shared" si="85"/>
        <v>0</v>
      </c>
      <c r="L149" s="10">
        <f t="shared" si="86"/>
        <v>0</v>
      </c>
      <c r="M149" s="10">
        <f t="shared" si="87"/>
        <v>0</v>
      </c>
      <c r="N149" s="5">
        <v>30969.525600000001</v>
      </c>
      <c r="O149" s="11">
        <f t="shared" si="75"/>
        <v>32697.839999999997</v>
      </c>
      <c r="P149" s="12">
        <v>32</v>
      </c>
      <c r="Q149" s="11">
        <v>39490</v>
      </c>
      <c r="R149" s="7">
        <v>0.2122</v>
      </c>
      <c r="S149" s="12"/>
      <c r="T149" s="10">
        <f t="shared" si="67"/>
        <v>1.2077250362715093</v>
      </c>
      <c r="U149" s="10">
        <f t="shared" si="68"/>
        <v>3</v>
      </c>
      <c r="V149" s="10">
        <f t="shared" si="69"/>
        <v>3</v>
      </c>
      <c r="W149" s="10">
        <f t="shared" si="70"/>
        <v>3</v>
      </c>
      <c r="X149" s="10">
        <f t="shared" si="71"/>
        <v>6.63125E-3</v>
      </c>
      <c r="Y149" s="10">
        <f t="shared" si="72"/>
        <v>1</v>
      </c>
      <c r="Z149" s="10">
        <f t="shared" si="73"/>
        <v>1</v>
      </c>
      <c r="AA149" s="10">
        <f t="shared" si="74"/>
        <v>1</v>
      </c>
      <c r="AB149" s="12"/>
      <c r="AC149" s="10">
        <f t="shared" si="76"/>
        <v>1.2077250362715093</v>
      </c>
      <c r="AD149" s="10">
        <f t="shared" si="77"/>
        <v>1.2077250362715093</v>
      </c>
      <c r="AE149" s="10">
        <f t="shared" si="78"/>
        <v>1.2077250362715093</v>
      </c>
      <c r="AF149" s="10">
        <f t="shared" si="79"/>
        <v>1.2077250362715093</v>
      </c>
      <c r="AG149" s="10">
        <f t="shared" si="80"/>
        <v>6.63125E-3</v>
      </c>
      <c r="AH149" s="10">
        <f t="shared" si="81"/>
        <v>6.63125E-3</v>
      </c>
      <c r="AI149" s="10">
        <f t="shared" si="81"/>
        <v>6.63125E-3</v>
      </c>
      <c r="AJ149" s="10">
        <f t="shared" si="81"/>
        <v>6.63125E-3</v>
      </c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</row>
    <row r="150" spans="1:61" s="7" customFormat="1" x14ac:dyDescent="0.3">
      <c r="A150" s="7" t="s">
        <v>170</v>
      </c>
      <c r="B150" s="11">
        <v>0</v>
      </c>
      <c r="C150" s="11">
        <v>0</v>
      </c>
      <c r="D150" s="11">
        <v>12774.322196163739</v>
      </c>
      <c r="E150" s="10">
        <f t="shared" si="88"/>
        <v>583.90673073654875</v>
      </c>
      <c r="F150" s="10">
        <f t="shared" si="89"/>
        <v>10534.091548128888</v>
      </c>
      <c r="G150" s="10">
        <f t="shared" si="90"/>
        <v>40621.6547704021</v>
      </c>
      <c r="H150" s="10">
        <f t="shared" si="82"/>
        <v>0.12351506183225135</v>
      </c>
      <c r="I150" s="10">
        <f t="shared" si="83"/>
        <v>0.95503058664162788</v>
      </c>
      <c r="J150" s="10">
        <f t="shared" si="84"/>
        <v>45.408451594099454</v>
      </c>
      <c r="K150" s="10">
        <f t="shared" si="85"/>
        <v>44.199154798726539</v>
      </c>
      <c r="L150" s="10">
        <f t="shared" si="86"/>
        <v>0</v>
      </c>
      <c r="M150" s="10">
        <f t="shared" si="87"/>
        <v>0</v>
      </c>
      <c r="N150" s="5">
        <v>366.17489999999998</v>
      </c>
      <c r="O150" s="11">
        <f t="shared" si="75"/>
        <v>386.60999999999996</v>
      </c>
      <c r="P150" s="12">
        <v>0.12</v>
      </c>
      <c r="Q150" s="11">
        <v>6.6000000000000005</v>
      </c>
      <c r="R150" s="7">
        <v>0.49109999999999998</v>
      </c>
      <c r="S150" s="12"/>
      <c r="T150" s="10">
        <f t="shared" si="67"/>
        <v>1.7071467370218054E-2</v>
      </c>
      <c r="U150" s="10">
        <f t="shared" si="68"/>
        <v>2</v>
      </c>
      <c r="V150" s="10">
        <f t="shared" si="69"/>
        <v>2</v>
      </c>
      <c r="W150" s="10">
        <f t="shared" si="70"/>
        <v>2</v>
      </c>
      <c r="X150" s="10">
        <f t="shared" si="71"/>
        <v>4.0925000000000002</v>
      </c>
      <c r="Y150" s="10">
        <f t="shared" si="72"/>
        <v>4</v>
      </c>
      <c r="Z150" s="10">
        <f t="shared" si="73"/>
        <v>5</v>
      </c>
      <c r="AA150" s="10">
        <f t="shared" si="74"/>
        <v>5</v>
      </c>
      <c r="AB150" s="12"/>
      <c r="AC150" s="10">
        <f t="shared" si="76"/>
        <v>1.7071467370218054E-2</v>
      </c>
      <c r="AD150" s="10">
        <f t="shared" si="77"/>
        <v>1.527396422070171</v>
      </c>
      <c r="AE150" s="10">
        <f t="shared" si="78"/>
        <v>27.264404821729624</v>
      </c>
      <c r="AF150" s="10">
        <f t="shared" si="79"/>
        <v>105.08847357906444</v>
      </c>
      <c r="AG150" s="10">
        <f t="shared" si="80"/>
        <v>4.0925000000000002</v>
      </c>
      <c r="AH150" s="10">
        <f t="shared" si="81"/>
        <v>5.1217921819354277</v>
      </c>
      <c r="AI150" s="10">
        <f t="shared" si="81"/>
        <v>12.051088222013567</v>
      </c>
      <c r="AJ150" s="10">
        <f t="shared" si="81"/>
        <v>382.49626328416213</v>
      </c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</row>
    <row r="151" spans="1:61" s="7" customFormat="1" x14ac:dyDescent="0.3">
      <c r="A151" s="7" t="s">
        <v>131</v>
      </c>
      <c r="B151" s="11">
        <v>569.51348503271197</v>
      </c>
      <c r="C151" s="11">
        <v>0</v>
      </c>
      <c r="D151" s="11">
        <v>0</v>
      </c>
      <c r="E151" s="10">
        <f t="shared" si="88"/>
        <v>5.0066039625977012</v>
      </c>
      <c r="F151" s="10">
        <f t="shared" si="89"/>
        <v>102.41662374743596</v>
      </c>
      <c r="G151" s="10">
        <f t="shared" si="90"/>
        <v>915.79514901280857</v>
      </c>
      <c r="H151" s="10">
        <f t="shared" si="82"/>
        <v>2.2279564491226598E-3</v>
      </c>
      <c r="I151" s="10">
        <f t="shared" si="83"/>
        <v>8.7729136361726322E-3</v>
      </c>
      <c r="J151" s="10">
        <f t="shared" si="84"/>
        <v>1.1085933919808904</v>
      </c>
      <c r="K151" s="10">
        <f t="shared" si="85"/>
        <v>1.0251242730588814</v>
      </c>
      <c r="L151" s="10">
        <f t="shared" si="86"/>
        <v>0</v>
      </c>
      <c r="M151" s="10">
        <f t="shared" si="87"/>
        <v>0</v>
      </c>
      <c r="N151" s="5">
        <v>18478.473000000002</v>
      </c>
      <c r="O151" s="11">
        <f t="shared" si="75"/>
        <v>19509.699999999997</v>
      </c>
      <c r="P151" s="12">
        <v>10.020000000000001</v>
      </c>
      <c r="Q151" s="11">
        <v>18830</v>
      </c>
      <c r="R151" s="7">
        <v>0.55649999999999999</v>
      </c>
      <c r="S151" s="12"/>
      <c r="T151" s="10">
        <f t="shared" si="67"/>
        <v>0.96516091995263908</v>
      </c>
      <c r="U151" s="10">
        <f t="shared" si="68"/>
        <v>1</v>
      </c>
      <c r="V151" s="10">
        <f t="shared" si="69"/>
        <v>1</v>
      </c>
      <c r="W151" s="10">
        <f t="shared" si="70"/>
        <v>2</v>
      </c>
      <c r="X151" s="10">
        <f t="shared" si="71"/>
        <v>5.5538922155688612E-2</v>
      </c>
      <c r="Y151" s="10">
        <f t="shared" si="72"/>
        <v>1</v>
      </c>
      <c r="Z151" s="10">
        <f t="shared" si="73"/>
        <v>1</v>
      </c>
      <c r="AA151" s="10">
        <f t="shared" si="74"/>
        <v>1</v>
      </c>
      <c r="AB151" s="12"/>
      <c r="AC151" s="10">
        <f t="shared" si="76"/>
        <v>0.96516091995263908</v>
      </c>
      <c r="AD151" s="10">
        <f t="shared" si="77"/>
        <v>0.96541754122116685</v>
      </c>
      <c r="AE151" s="10">
        <f t="shared" si="78"/>
        <v>0.97041044320248071</v>
      </c>
      <c r="AF151" s="10">
        <f t="shared" si="79"/>
        <v>1.0121014238564821</v>
      </c>
      <c r="AG151" s="10">
        <f t="shared" si="80"/>
        <v>5.5538922155688612E-2</v>
      </c>
      <c r="AH151" s="10">
        <f t="shared" si="81"/>
        <v>5.5761273098714828E-2</v>
      </c>
      <c r="AI151" s="10">
        <f t="shared" si="81"/>
        <v>5.6414462438739772E-2</v>
      </c>
      <c r="AJ151" s="10">
        <f t="shared" si="81"/>
        <v>0.16617698522763374</v>
      </c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</row>
    <row r="152" spans="1:61" s="7" customFormat="1" x14ac:dyDescent="0.3">
      <c r="A152" s="7" t="s">
        <v>132</v>
      </c>
      <c r="B152" s="11">
        <v>0</v>
      </c>
      <c r="C152" s="11">
        <v>0</v>
      </c>
      <c r="D152" s="11">
        <v>0</v>
      </c>
      <c r="E152" s="10">
        <f t="shared" si="88"/>
        <v>0</v>
      </c>
      <c r="F152" s="10">
        <f t="shared" si="89"/>
        <v>0</v>
      </c>
      <c r="G152" s="10">
        <f t="shared" si="90"/>
        <v>0</v>
      </c>
      <c r="H152" s="10">
        <f t="shared" si="82"/>
        <v>0</v>
      </c>
      <c r="I152" s="10">
        <f t="shared" si="83"/>
        <v>0</v>
      </c>
      <c r="J152" s="10">
        <f t="shared" si="84"/>
        <v>0</v>
      </c>
      <c r="K152" s="10">
        <f t="shared" si="85"/>
        <v>0</v>
      </c>
      <c r="L152" s="10">
        <f t="shared" si="86"/>
        <v>0</v>
      </c>
      <c r="M152" s="10">
        <f t="shared" si="87"/>
        <v>0</v>
      </c>
      <c r="N152" s="5">
        <v>5053.6512000000012</v>
      </c>
      <c r="O152" s="11">
        <f t="shared" si="75"/>
        <v>5335.68</v>
      </c>
      <c r="P152" s="12">
        <v>6.3740000000000006</v>
      </c>
      <c r="Q152" s="11">
        <v>6104.9</v>
      </c>
      <c r="R152" s="7">
        <v>0.96099999999999997</v>
      </c>
      <c r="S152" s="12"/>
      <c r="T152" s="10">
        <f t="shared" si="67"/>
        <v>1.1441653172604054</v>
      </c>
      <c r="U152" s="10">
        <f t="shared" si="68"/>
        <v>3</v>
      </c>
      <c r="V152" s="10">
        <f t="shared" si="69"/>
        <v>3</v>
      </c>
      <c r="W152" s="10">
        <f t="shared" si="70"/>
        <v>3</v>
      </c>
      <c r="X152" s="10">
        <f t="shared" si="71"/>
        <v>0.15076874803890805</v>
      </c>
      <c r="Y152" s="10">
        <f t="shared" si="72"/>
        <v>1</v>
      </c>
      <c r="Z152" s="10">
        <f t="shared" si="73"/>
        <v>1</v>
      </c>
      <c r="AA152" s="10">
        <f t="shared" si="74"/>
        <v>1</v>
      </c>
      <c r="AB152" s="12"/>
      <c r="AC152" s="10">
        <f t="shared" si="76"/>
        <v>1.1441653172604054</v>
      </c>
      <c r="AD152" s="10">
        <f t="shared" si="77"/>
        <v>1.1441653172604054</v>
      </c>
      <c r="AE152" s="10">
        <f t="shared" si="78"/>
        <v>1.1441653172604054</v>
      </c>
      <c r="AF152" s="10">
        <f t="shared" si="79"/>
        <v>1.1441653172604054</v>
      </c>
      <c r="AG152" s="10">
        <f t="shared" si="80"/>
        <v>0.15076874803890805</v>
      </c>
      <c r="AH152" s="10">
        <f t="shared" si="81"/>
        <v>0.15076874803890805</v>
      </c>
      <c r="AI152" s="10">
        <f t="shared" si="81"/>
        <v>0.15076874803890805</v>
      </c>
      <c r="AJ152" s="10">
        <f t="shared" si="81"/>
        <v>0.15076874803890805</v>
      </c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</row>
    <row r="153" spans="1:61" s="7" customFormat="1" x14ac:dyDescent="0.3">
      <c r="A153" s="7" t="s">
        <v>204</v>
      </c>
      <c r="B153" s="11">
        <v>0</v>
      </c>
      <c r="C153" s="11">
        <v>0</v>
      </c>
      <c r="D153" s="11">
        <v>0</v>
      </c>
      <c r="E153" s="10">
        <f t="shared" si="88"/>
        <v>0</v>
      </c>
      <c r="F153" s="10">
        <f t="shared" si="89"/>
        <v>0</v>
      </c>
      <c r="G153" s="10">
        <f t="shared" si="90"/>
        <v>0</v>
      </c>
      <c r="H153" s="10">
        <f t="shared" si="82"/>
        <v>0</v>
      </c>
      <c r="I153" s="10">
        <f t="shared" si="83"/>
        <v>0</v>
      </c>
      <c r="J153" s="10">
        <f t="shared" si="84"/>
        <v>0</v>
      </c>
      <c r="K153" s="10">
        <f t="shared" si="85"/>
        <v>0</v>
      </c>
      <c r="L153" s="10">
        <f t="shared" si="86"/>
        <v>0</v>
      </c>
      <c r="M153" s="10">
        <f t="shared" si="87"/>
        <v>0</v>
      </c>
      <c r="N153" s="5">
        <v>369436.86000000004</v>
      </c>
      <c r="O153" s="11">
        <f t="shared" si="75"/>
        <v>390054</v>
      </c>
      <c r="P153" s="12">
        <v>2.94</v>
      </c>
      <c r="Q153" s="11">
        <v>441250</v>
      </c>
      <c r="R153" s="7">
        <v>3.298</v>
      </c>
      <c r="S153" s="12"/>
      <c r="T153" s="10">
        <f t="shared" si="67"/>
        <v>1.1312536212934619</v>
      </c>
      <c r="U153" s="10">
        <f t="shared" si="68"/>
        <v>3</v>
      </c>
      <c r="V153" s="10">
        <f t="shared" si="69"/>
        <v>3</v>
      </c>
      <c r="W153" s="10">
        <f t="shared" si="70"/>
        <v>3</v>
      </c>
      <c r="X153" s="10">
        <f t="shared" si="71"/>
        <v>1.1217687074829932</v>
      </c>
      <c r="Y153" s="10">
        <f t="shared" si="72"/>
        <v>3</v>
      </c>
      <c r="Z153" s="10">
        <f t="shared" si="73"/>
        <v>3</v>
      </c>
      <c r="AA153" s="10">
        <f t="shared" si="74"/>
        <v>3</v>
      </c>
      <c r="AB153" s="12"/>
      <c r="AC153" s="10">
        <f t="shared" si="76"/>
        <v>1.1312536212934619</v>
      </c>
      <c r="AD153" s="10">
        <f t="shared" si="77"/>
        <v>1.1312536212934619</v>
      </c>
      <c r="AE153" s="10">
        <f t="shared" si="78"/>
        <v>1.1312536212934619</v>
      </c>
      <c r="AF153" s="10">
        <f t="shared" si="79"/>
        <v>1.1312536212934619</v>
      </c>
      <c r="AG153" s="10">
        <f t="shared" si="80"/>
        <v>1.1217687074829932</v>
      </c>
      <c r="AH153" s="10">
        <f t="shared" si="81"/>
        <v>1.1217687074829932</v>
      </c>
      <c r="AI153" s="10">
        <f t="shared" si="81"/>
        <v>1.1217687074829932</v>
      </c>
      <c r="AJ153" s="10">
        <f t="shared" si="81"/>
        <v>1.1217687074829932</v>
      </c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</row>
    <row r="154" spans="1:61" s="7" customFormat="1" x14ac:dyDescent="0.3">
      <c r="A154" s="7" t="s">
        <v>133</v>
      </c>
      <c r="B154" s="11">
        <v>300.93459627793652</v>
      </c>
      <c r="C154" s="11">
        <v>0</v>
      </c>
      <c r="D154" s="11">
        <v>28000.691116322807</v>
      </c>
      <c r="E154" s="10">
        <f t="shared" si="88"/>
        <v>1282.5405923231492</v>
      </c>
      <c r="F154" s="10">
        <f t="shared" si="89"/>
        <v>23144.332419486462</v>
      </c>
      <c r="G154" s="10">
        <f t="shared" si="90"/>
        <v>89524.597772062116</v>
      </c>
      <c r="H154" s="10">
        <f t="shared" si="82"/>
        <v>0.27191625695928823</v>
      </c>
      <c r="I154" s="10">
        <f t="shared" si="83"/>
        <v>2.0980161231715386</v>
      </c>
      <c r="J154" s="10">
        <f t="shared" si="84"/>
        <v>100.11889874158379</v>
      </c>
      <c r="K154" s="10">
        <f t="shared" si="85"/>
        <v>97.424073535777183</v>
      </c>
      <c r="L154" s="10">
        <f t="shared" si="86"/>
        <v>0</v>
      </c>
      <c r="M154" s="10">
        <f t="shared" si="87"/>
        <v>0</v>
      </c>
      <c r="N154" s="5">
        <v>687258.57330000005</v>
      </c>
      <c r="O154" s="11">
        <f t="shared" si="75"/>
        <v>725612.37</v>
      </c>
      <c r="P154" s="12">
        <v>10.270000000000001</v>
      </c>
      <c r="Q154" s="11">
        <v>963410</v>
      </c>
      <c r="R154" s="7">
        <v>19.850000000000001</v>
      </c>
      <c r="S154" s="12"/>
      <c r="T154" s="10">
        <f t="shared" si="67"/>
        <v>1.3277199229665835</v>
      </c>
      <c r="U154" s="10">
        <f t="shared" si="68"/>
        <v>3</v>
      </c>
      <c r="V154" s="10">
        <f t="shared" si="69"/>
        <v>3</v>
      </c>
      <c r="W154" s="10">
        <f t="shared" si="70"/>
        <v>3</v>
      </c>
      <c r="X154" s="10">
        <f t="shared" si="71"/>
        <v>1.9328140214216163</v>
      </c>
      <c r="Y154" s="10">
        <f t="shared" si="72"/>
        <v>3</v>
      </c>
      <c r="Z154" s="10">
        <f t="shared" si="73"/>
        <v>4</v>
      </c>
      <c r="AA154" s="10">
        <f t="shared" si="74"/>
        <v>5</v>
      </c>
      <c r="AB154" s="12"/>
      <c r="AC154" s="10">
        <f t="shared" si="76"/>
        <v>1.3277199229665835</v>
      </c>
      <c r="AD154" s="10">
        <f t="shared" si="77"/>
        <v>1.3294874515332797</v>
      </c>
      <c r="AE154" s="10">
        <f t="shared" si="78"/>
        <v>1.3596161989623834</v>
      </c>
      <c r="AF154" s="10">
        <f t="shared" si="79"/>
        <v>1.4510979157812072</v>
      </c>
      <c r="AG154" s="10">
        <f t="shared" si="80"/>
        <v>1.9328140214216163</v>
      </c>
      <c r="AH154" s="10">
        <f t="shared" si="81"/>
        <v>1.9592907747769508</v>
      </c>
      <c r="AI154" s="10">
        <f t="shared" si="81"/>
        <v>2.1370999146223504</v>
      </c>
      <c r="AJ154" s="10">
        <f t="shared" si="81"/>
        <v>11.681489653513513</v>
      </c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</row>
    <row r="155" spans="1:61" s="7" customFormat="1" x14ac:dyDescent="0.3">
      <c r="A155" s="7" t="s">
        <v>205</v>
      </c>
      <c r="B155" s="11">
        <v>0</v>
      </c>
      <c r="C155" s="11">
        <v>0</v>
      </c>
      <c r="D155" s="11">
        <v>0</v>
      </c>
      <c r="E155" s="10">
        <f t="shared" si="88"/>
        <v>0</v>
      </c>
      <c r="F155" s="10">
        <f t="shared" si="89"/>
        <v>0</v>
      </c>
      <c r="G155" s="10">
        <f t="shared" si="90"/>
        <v>0</v>
      </c>
      <c r="H155" s="10">
        <f t="shared" si="82"/>
        <v>0</v>
      </c>
      <c r="I155" s="10">
        <f t="shared" si="83"/>
        <v>0</v>
      </c>
      <c r="J155" s="10">
        <f t="shared" si="84"/>
        <v>0</v>
      </c>
      <c r="K155" s="10">
        <f t="shared" si="85"/>
        <v>0</v>
      </c>
      <c r="L155" s="10">
        <f t="shared" si="86"/>
        <v>0</v>
      </c>
      <c r="M155" s="10">
        <f t="shared" si="87"/>
        <v>0</v>
      </c>
      <c r="N155" s="5">
        <v>370205.94</v>
      </c>
      <c r="O155" s="11">
        <f t="shared" si="75"/>
        <v>390866</v>
      </c>
      <c r="P155" s="12">
        <v>9.9</v>
      </c>
      <c r="Q155" s="11">
        <v>282510</v>
      </c>
      <c r="R155" s="7">
        <v>0.65800000000000003</v>
      </c>
      <c r="S155" s="12"/>
      <c r="T155" s="10">
        <f t="shared" si="67"/>
        <v>0.72277967385242003</v>
      </c>
      <c r="U155" s="10">
        <f t="shared" si="68"/>
        <v>1</v>
      </c>
      <c r="V155" s="10">
        <f t="shared" si="69"/>
        <v>1</v>
      </c>
      <c r="W155" s="10">
        <f t="shared" si="70"/>
        <v>1</v>
      </c>
      <c r="X155" s="10">
        <f t="shared" si="71"/>
        <v>6.6464646464646462E-2</v>
      </c>
      <c r="Y155" s="10">
        <f t="shared" si="72"/>
        <v>1</v>
      </c>
      <c r="Z155" s="10">
        <f t="shared" si="73"/>
        <v>1</v>
      </c>
      <c r="AA155" s="10">
        <f t="shared" si="74"/>
        <v>1</v>
      </c>
      <c r="AB155" s="12"/>
      <c r="AC155" s="10">
        <f t="shared" si="76"/>
        <v>0.72277967385242003</v>
      </c>
      <c r="AD155" s="10">
        <f t="shared" si="77"/>
        <v>0.72277967385242003</v>
      </c>
      <c r="AE155" s="10">
        <f t="shared" si="78"/>
        <v>0.72277967385242003</v>
      </c>
      <c r="AF155" s="10">
        <f t="shared" si="79"/>
        <v>0.72277967385242003</v>
      </c>
      <c r="AG155" s="10">
        <f t="shared" si="80"/>
        <v>6.6464646464646462E-2</v>
      </c>
      <c r="AH155" s="10">
        <f t="shared" si="81"/>
        <v>6.6464646464646462E-2</v>
      </c>
      <c r="AI155" s="10">
        <f t="shared" si="81"/>
        <v>6.6464646464646462E-2</v>
      </c>
      <c r="AJ155" s="10">
        <f t="shared" si="81"/>
        <v>6.6464646464646462E-2</v>
      </c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</row>
    <row r="156" spans="1:61" s="7" customFormat="1" x14ac:dyDescent="0.3">
      <c r="A156" s="7" t="s">
        <v>134</v>
      </c>
      <c r="B156" s="11">
        <v>1382.3008492416286</v>
      </c>
      <c r="C156" s="11">
        <v>0</v>
      </c>
      <c r="D156" s="11">
        <v>17759.423541008124</v>
      </c>
      <c r="E156" s="10">
        <f t="shared" si="88"/>
        <v>823.92460525937497</v>
      </c>
      <c r="F156" s="10">
        <f t="shared" si="89"/>
        <v>14893.538164735284</v>
      </c>
      <c r="G156" s="10">
        <f t="shared" si="90"/>
        <v>58696.790007674543</v>
      </c>
      <c r="H156" s="10">
        <f t="shared" si="82"/>
        <v>0.17712367029847079</v>
      </c>
      <c r="I156" s="10">
        <f t="shared" si="83"/>
        <v>1.3490187224677763</v>
      </c>
      <c r="J156" s="10">
        <f t="shared" si="84"/>
        <v>65.8195574563333</v>
      </c>
      <c r="K156" s="10">
        <f t="shared" si="85"/>
        <v>63.935746980523049</v>
      </c>
      <c r="L156" s="10">
        <f t="shared" si="86"/>
        <v>0</v>
      </c>
      <c r="M156" s="10">
        <f t="shared" si="87"/>
        <v>0</v>
      </c>
      <c r="N156" s="5">
        <v>203820.58577400001</v>
      </c>
      <c r="O156" s="11">
        <f t="shared" si="75"/>
        <v>215195.18859999996</v>
      </c>
      <c r="P156" s="12">
        <v>22.3</v>
      </c>
      <c r="Q156" s="11">
        <v>261426.38099999999</v>
      </c>
      <c r="R156" s="7">
        <v>31.221</v>
      </c>
      <c r="S156" s="12"/>
      <c r="T156" s="10">
        <f t="shared" si="67"/>
        <v>1.2148337641783131</v>
      </c>
      <c r="U156" s="10">
        <f t="shared" si="68"/>
        <v>3</v>
      </c>
      <c r="V156" s="10">
        <f t="shared" si="69"/>
        <v>3</v>
      </c>
      <c r="W156" s="10">
        <f t="shared" si="70"/>
        <v>4</v>
      </c>
      <c r="X156" s="10">
        <f t="shared" si="71"/>
        <v>1.4000448430493273</v>
      </c>
      <c r="Y156" s="10">
        <f t="shared" si="72"/>
        <v>3</v>
      </c>
      <c r="Z156" s="10">
        <f t="shared" si="73"/>
        <v>3</v>
      </c>
      <c r="AA156" s="10">
        <f t="shared" si="74"/>
        <v>5</v>
      </c>
      <c r="AB156" s="12"/>
      <c r="AC156" s="10">
        <f t="shared" si="76"/>
        <v>1.2148337641783131</v>
      </c>
      <c r="AD156" s="10">
        <f t="shared" si="77"/>
        <v>1.2186624957155729</v>
      </c>
      <c r="AE156" s="10">
        <f t="shared" si="78"/>
        <v>1.2840432026496309</v>
      </c>
      <c r="AF156" s="10">
        <f t="shared" si="79"/>
        <v>1.4875944629166982</v>
      </c>
      <c r="AG156" s="10">
        <f t="shared" si="80"/>
        <v>1.4000448430493273</v>
      </c>
      <c r="AH156" s="10">
        <f t="shared" si="81"/>
        <v>1.4079876085335636</v>
      </c>
      <c r="AI156" s="10">
        <f t="shared" si="81"/>
        <v>1.4605389561644744</v>
      </c>
      <c r="AJ156" s="10">
        <f t="shared" si="81"/>
        <v>4.3515945047683093</v>
      </c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</row>
    <row r="157" spans="1:61" s="7" customFormat="1" x14ac:dyDescent="0.3">
      <c r="A157" s="7" t="s">
        <v>135</v>
      </c>
      <c r="B157" s="11">
        <v>0</v>
      </c>
      <c r="C157" s="11">
        <v>0</v>
      </c>
      <c r="D157" s="11">
        <v>0</v>
      </c>
      <c r="E157" s="10">
        <f t="shared" si="88"/>
        <v>0</v>
      </c>
      <c r="F157" s="10">
        <f t="shared" si="89"/>
        <v>0</v>
      </c>
      <c r="G157" s="10">
        <f t="shared" si="90"/>
        <v>0</v>
      </c>
      <c r="H157" s="10">
        <f t="shared" si="82"/>
        <v>0</v>
      </c>
      <c r="I157" s="10">
        <f t="shared" si="83"/>
        <v>0</v>
      </c>
      <c r="J157" s="10">
        <f t="shared" si="84"/>
        <v>0</v>
      </c>
      <c r="K157" s="10">
        <f t="shared" si="85"/>
        <v>0</v>
      </c>
      <c r="L157" s="10">
        <f t="shared" si="86"/>
        <v>0</v>
      </c>
      <c r="M157" s="10">
        <f t="shared" si="87"/>
        <v>0</v>
      </c>
      <c r="N157" s="5">
        <v>24517.607400000004</v>
      </c>
      <c r="O157" s="11">
        <f t="shared" si="75"/>
        <v>25885.86</v>
      </c>
      <c r="P157" s="12">
        <v>10.56</v>
      </c>
      <c r="Q157" s="11">
        <v>28120</v>
      </c>
      <c r="R157" s="7">
        <v>12.946</v>
      </c>
      <c r="S157" s="12"/>
      <c r="T157" s="10">
        <f t="shared" si="67"/>
        <v>1.0863073508085108</v>
      </c>
      <c r="U157" s="10">
        <f t="shared" si="68"/>
        <v>3</v>
      </c>
      <c r="V157" s="10">
        <f t="shared" si="69"/>
        <v>3</v>
      </c>
      <c r="W157" s="10">
        <f t="shared" si="70"/>
        <v>3</v>
      </c>
      <c r="X157" s="10">
        <f t="shared" si="71"/>
        <v>1.2259469696969696</v>
      </c>
      <c r="Y157" s="10">
        <f t="shared" si="72"/>
        <v>3</v>
      </c>
      <c r="Z157" s="10">
        <f t="shared" si="73"/>
        <v>3</v>
      </c>
      <c r="AA157" s="10">
        <f t="shared" si="74"/>
        <v>3</v>
      </c>
      <c r="AB157" s="12"/>
      <c r="AC157" s="10">
        <f t="shared" si="76"/>
        <v>1.0863073508085108</v>
      </c>
      <c r="AD157" s="10">
        <f t="shared" si="77"/>
        <v>1.0863073508085108</v>
      </c>
      <c r="AE157" s="10">
        <f t="shared" si="78"/>
        <v>1.0863073508085108</v>
      </c>
      <c r="AF157" s="10">
        <f t="shared" si="79"/>
        <v>1.0863073508085108</v>
      </c>
      <c r="AG157" s="10">
        <f t="shared" si="80"/>
        <v>1.2259469696969696</v>
      </c>
      <c r="AH157" s="10">
        <f t="shared" si="81"/>
        <v>1.2259469696969696</v>
      </c>
      <c r="AI157" s="10">
        <f t="shared" si="81"/>
        <v>1.2259469696969696</v>
      </c>
      <c r="AJ157" s="10">
        <f t="shared" si="81"/>
        <v>1.2259469696969696</v>
      </c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</row>
    <row r="158" spans="1:61" s="7" customFormat="1" x14ac:dyDescent="0.3">
      <c r="A158" s="7" t="s">
        <v>136</v>
      </c>
      <c r="B158" s="11">
        <v>0</v>
      </c>
      <c r="C158" s="11">
        <v>0</v>
      </c>
      <c r="D158" s="11">
        <v>0</v>
      </c>
      <c r="E158" s="10">
        <f t="shared" si="88"/>
        <v>0</v>
      </c>
      <c r="F158" s="10">
        <f t="shared" si="89"/>
        <v>0</v>
      </c>
      <c r="G158" s="10">
        <f t="shared" si="90"/>
        <v>0</v>
      </c>
      <c r="H158" s="10">
        <f t="shared" si="82"/>
        <v>0</v>
      </c>
      <c r="I158" s="10">
        <f t="shared" si="83"/>
        <v>0</v>
      </c>
      <c r="J158" s="10">
        <f t="shared" si="84"/>
        <v>0</v>
      </c>
      <c r="K158" s="10">
        <f t="shared" si="85"/>
        <v>0</v>
      </c>
      <c r="L158" s="10">
        <f t="shared" si="86"/>
        <v>0</v>
      </c>
      <c r="M158" s="10">
        <f t="shared" si="87"/>
        <v>0</v>
      </c>
      <c r="N158" s="5">
        <v>1110130.1835</v>
      </c>
      <c r="O158" s="11">
        <f t="shared" si="75"/>
        <v>1172083.1499999999</v>
      </c>
      <c r="P158" s="12">
        <v>7.56</v>
      </c>
      <c r="Q158" s="11">
        <v>694058.39999999991</v>
      </c>
      <c r="R158" s="7">
        <v>26.934999999999999</v>
      </c>
      <c r="S158" s="12"/>
      <c r="T158" s="10">
        <f t="shared" si="67"/>
        <v>0.59215798810860809</v>
      </c>
      <c r="U158" s="10">
        <f t="shared" si="68"/>
        <v>1</v>
      </c>
      <c r="V158" s="10">
        <f t="shared" si="69"/>
        <v>1</v>
      </c>
      <c r="W158" s="10">
        <f t="shared" si="70"/>
        <v>1</v>
      </c>
      <c r="X158" s="10">
        <f t="shared" si="71"/>
        <v>3.5628306878306879</v>
      </c>
      <c r="Y158" s="10">
        <f t="shared" si="72"/>
        <v>3</v>
      </c>
      <c r="Z158" s="10">
        <f t="shared" si="73"/>
        <v>3</v>
      </c>
      <c r="AA158" s="10">
        <f t="shared" si="74"/>
        <v>3</v>
      </c>
      <c r="AB158" s="12"/>
      <c r="AC158" s="10">
        <f t="shared" si="76"/>
        <v>0.59215798810860809</v>
      </c>
      <c r="AD158" s="10">
        <f t="shared" si="77"/>
        <v>0.59215798810860809</v>
      </c>
      <c r="AE158" s="10">
        <f t="shared" si="78"/>
        <v>0.59215798810860809</v>
      </c>
      <c r="AF158" s="10">
        <f t="shared" si="79"/>
        <v>0.59215798810860809</v>
      </c>
      <c r="AG158" s="10">
        <f t="shared" si="80"/>
        <v>3.5628306878306879</v>
      </c>
      <c r="AH158" s="10">
        <f t="shared" si="81"/>
        <v>3.5628306878306879</v>
      </c>
      <c r="AI158" s="10">
        <f t="shared" si="81"/>
        <v>3.5628306878306879</v>
      </c>
      <c r="AJ158" s="10">
        <f t="shared" si="81"/>
        <v>3.5628306878306879</v>
      </c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</row>
    <row r="159" spans="1:61" s="7" customFormat="1" x14ac:dyDescent="0.3">
      <c r="A159" s="7" t="s">
        <v>137</v>
      </c>
      <c r="B159" s="11">
        <v>0</v>
      </c>
      <c r="C159" s="11">
        <v>0</v>
      </c>
      <c r="D159" s="11">
        <v>0</v>
      </c>
      <c r="E159" s="10">
        <f t="shared" si="88"/>
        <v>0</v>
      </c>
      <c r="F159" s="10">
        <f t="shared" si="89"/>
        <v>0</v>
      </c>
      <c r="G159" s="10">
        <f t="shared" si="90"/>
        <v>0</v>
      </c>
      <c r="H159" s="10">
        <f t="shared" si="82"/>
        <v>0</v>
      </c>
      <c r="I159" s="10">
        <f t="shared" si="83"/>
        <v>0</v>
      </c>
      <c r="J159" s="10">
        <f t="shared" si="84"/>
        <v>0</v>
      </c>
      <c r="K159" s="10">
        <f t="shared" si="85"/>
        <v>0</v>
      </c>
      <c r="L159" s="10">
        <f t="shared" si="86"/>
        <v>0</v>
      </c>
      <c r="M159" s="10">
        <f t="shared" si="87"/>
        <v>0</v>
      </c>
      <c r="N159" s="5">
        <v>308.06270000000995</v>
      </c>
      <c r="O159" s="11">
        <f t="shared" si="75"/>
        <v>325.25473604827596</v>
      </c>
      <c r="P159" s="12">
        <v>19.8</v>
      </c>
      <c r="Q159" s="11">
        <v>840</v>
      </c>
      <c r="R159" s="7">
        <v>0.6159</v>
      </c>
      <c r="S159" s="12"/>
      <c r="T159" s="10">
        <f t="shared" si="67"/>
        <v>2.5825911413487392</v>
      </c>
      <c r="U159" s="10">
        <f t="shared" si="68"/>
        <v>3</v>
      </c>
      <c r="V159" s="10">
        <f t="shared" si="69"/>
        <v>3</v>
      </c>
      <c r="W159" s="10">
        <f t="shared" si="70"/>
        <v>3</v>
      </c>
      <c r="X159" s="10">
        <f t="shared" si="71"/>
        <v>3.1106060606060606E-2</v>
      </c>
      <c r="Y159" s="10">
        <f t="shared" si="72"/>
        <v>1</v>
      </c>
      <c r="Z159" s="10">
        <f t="shared" si="73"/>
        <v>1</v>
      </c>
      <c r="AA159" s="10">
        <f t="shared" si="74"/>
        <v>1</v>
      </c>
      <c r="AB159" s="12"/>
      <c r="AC159" s="10">
        <f t="shared" si="76"/>
        <v>2.5825911413487392</v>
      </c>
      <c r="AD159" s="10">
        <f t="shared" si="77"/>
        <v>2.5825911413487392</v>
      </c>
      <c r="AE159" s="10">
        <f t="shared" si="78"/>
        <v>2.5825911413487392</v>
      </c>
      <c r="AF159" s="10">
        <f t="shared" si="79"/>
        <v>2.5825911413487392</v>
      </c>
      <c r="AG159" s="10">
        <f t="shared" si="80"/>
        <v>3.1106060606060606E-2</v>
      </c>
      <c r="AH159" s="10">
        <f t="shared" si="81"/>
        <v>3.1106060606060606E-2</v>
      </c>
      <c r="AI159" s="10">
        <f t="shared" si="81"/>
        <v>3.1106060606060606E-2</v>
      </c>
      <c r="AJ159" s="10">
        <f t="shared" si="81"/>
        <v>3.1106060606060606E-2</v>
      </c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</row>
    <row r="160" spans="1:61" s="7" customFormat="1" x14ac:dyDescent="0.3">
      <c r="A160" s="7" t="s">
        <v>138</v>
      </c>
      <c r="B160" s="11">
        <v>0</v>
      </c>
      <c r="C160" s="11">
        <v>0</v>
      </c>
      <c r="D160" s="11">
        <v>0</v>
      </c>
      <c r="E160" s="10">
        <f t="shared" si="88"/>
        <v>0</v>
      </c>
      <c r="F160" s="10">
        <f t="shared" si="89"/>
        <v>0</v>
      </c>
      <c r="G160" s="10">
        <f t="shared" si="90"/>
        <v>0</v>
      </c>
      <c r="H160" s="10">
        <f t="shared" si="82"/>
        <v>0</v>
      </c>
      <c r="I160" s="10">
        <f t="shared" si="83"/>
        <v>0</v>
      </c>
      <c r="J160" s="10">
        <f t="shared" si="84"/>
        <v>0</v>
      </c>
      <c r="K160" s="10">
        <f t="shared" si="85"/>
        <v>0</v>
      </c>
      <c r="L160" s="10">
        <f t="shared" si="86"/>
        <v>0</v>
      </c>
      <c r="M160" s="10">
        <f t="shared" si="87"/>
        <v>0</v>
      </c>
      <c r="N160" s="5">
        <v>57907.692296999987</v>
      </c>
      <c r="O160" s="11">
        <f t="shared" si="75"/>
        <v>61139.343299999979</v>
      </c>
      <c r="P160" s="12">
        <v>34.800000000000004</v>
      </c>
      <c r="Q160" s="11">
        <v>30055.4</v>
      </c>
      <c r="R160" s="7">
        <v>2.375</v>
      </c>
      <c r="S160" s="12"/>
      <c r="T160" s="10">
        <f t="shared" si="67"/>
        <v>0.49158853166811839</v>
      </c>
      <c r="U160" s="10">
        <f t="shared" si="68"/>
        <v>1</v>
      </c>
      <c r="V160" s="10">
        <f t="shared" si="69"/>
        <v>1</v>
      </c>
      <c r="W160" s="10">
        <f t="shared" si="70"/>
        <v>1</v>
      </c>
      <c r="X160" s="10">
        <f t="shared" si="71"/>
        <v>6.8247126436781602E-2</v>
      </c>
      <c r="Y160" s="10">
        <f t="shared" si="72"/>
        <v>1</v>
      </c>
      <c r="Z160" s="10">
        <f t="shared" si="73"/>
        <v>1</v>
      </c>
      <c r="AA160" s="10">
        <f t="shared" si="74"/>
        <v>1</v>
      </c>
      <c r="AB160" s="12"/>
      <c r="AC160" s="10">
        <f t="shared" si="76"/>
        <v>0.49158853166811839</v>
      </c>
      <c r="AD160" s="10">
        <f t="shared" si="77"/>
        <v>0.49158853166811839</v>
      </c>
      <c r="AE160" s="10">
        <f t="shared" si="78"/>
        <v>0.49158853166811839</v>
      </c>
      <c r="AF160" s="10">
        <f t="shared" si="79"/>
        <v>0.49158853166811839</v>
      </c>
      <c r="AG160" s="10">
        <f t="shared" si="80"/>
        <v>6.8247126436781602E-2</v>
      </c>
      <c r="AH160" s="10">
        <f t="shared" si="81"/>
        <v>6.8247126436781602E-2</v>
      </c>
      <c r="AI160" s="10">
        <f t="shared" si="81"/>
        <v>6.8247126436781602E-2</v>
      </c>
      <c r="AJ160" s="10">
        <f t="shared" si="81"/>
        <v>6.8247126436781602E-2</v>
      </c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</row>
    <row r="161" spans="1:61" s="7" customFormat="1" x14ac:dyDescent="0.3">
      <c r="A161" s="7" t="s">
        <v>139</v>
      </c>
      <c r="B161" s="11">
        <v>0</v>
      </c>
      <c r="C161" s="11">
        <v>0</v>
      </c>
      <c r="D161" s="11">
        <v>0</v>
      </c>
      <c r="E161" s="10">
        <f t="shared" si="88"/>
        <v>0</v>
      </c>
      <c r="F161" s="10">
        <f t="shared" si="89"/>
        <v>0</v>
      </c>
      <c r="G161" s="10">
        <f t="shared" si="90"/>
        <v>0</v>
      </c>
      <c r="H161" s="10">
        <f t="shared" si="82"/>
        <v>0</v>
      </c>
      <c r="I161" s="10">
        <f t="shared" si="83"/>
        <v>0</v>
      </c>
      <c r="J161" s="10">
        <f t="shared" si="84"/>
        <v>0</v>
      </c>
      <c r="K161" s="10">
        <f t="shared" si="85"/>
        <v>0</v>
      </c>
      <c r="L161" s="10">
        <f t="shared" si="86"/>
        <v>0</v>
      </c>
      <c r="M161" s="10">
        <f t="shared" si="87"/>
        <v>0</v>
      </c>
      <c r="N161" s="5">
        <v>16608.527910000004</v>
      </c>
      <c r="O161" s="11">
        <f t="shared" si="75"/>
        <v>17535.399000000005</v>
      </c>
      <c r="P161" s="12">
        <v>10.700000000000001</v>
      </c>
      <c r="Q161" s="11">
        <v>15042.137000000001</v>
      </c>
      <c r="R161" s="7">
        <v>1.704</v>
      </c>
      <c r="S161" s="12"/>
      <c r="T161" s="10">
        <f t="shared" si="67"/>
        <v>0.85781549652790889</v>
      </c>
      <c r="U161" s="10">
        <f t="shared" si="68"/>
        <v>1</v>
      </c>
      <c r="V161" s="10">
        <f t="shared" si="69"/>
        <v>1</v>
      </c>
      <c r="W161" s="10">
        <f t="shared" si="70"/>
        <v>1</v>
      </c>
      <c r="X161" s="10">
        <f t="shared" si="71"/>
        <v>0.1592523364485981</v>
      </c>
      <c r="Y161" s="10">
        <f t="shared" si="72"/>
        <v>1</v>
      </c>
      <c r="Z161" s="10">
        <f t="shared" si="73"/>
        <v>1</v>
      </c>
      <c r="AA161" s="10">
        <f t="shared" si="74"/>
        <v>1</v>
      </c>
      <c r="AB161" s="12"/>
      <c r="AC161" s="10">
        <f t="shared" si="76"/>
        <v>0.85781549652790889</v>
      </c>
      <c r="AD161" s="10">
        <f t="shared" si="77"/>
        <v>0.85781549652790889</v>
      </c>
      <c r="AE161" s="10">
        <f t="shared" si="78"/>
        <v>0.85781549652790889</v>
      </c>
      <c r="AF161" s="10">
        <f t="shared" si="79"/>
        <v>0.85781549652790889</v>
      </c>
      <c r="AG161" s="10">
        <f t="shared" si="80"/>
        <v>0.1592523364485981</v>
      </c>
      <c r="AH161" s="10">
        <f t="shared" si="81"/>
        <v>0.1592523364485981</v>
      </c>
      <c r="AI161" s="10">
        <f t="shared" si="81"/>
        <v>0.1592523364485981</v>
      </c>
      <c r="AJ161" s="10">
        <f t="shared" si="81"/>
        <v>0.1592523364485981</v>
      </c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</row>
    <row r="162" spans="1:61" s="7" customFormat="1" x14ac:dyDescent="0.3">
      <c r="A162" s="7" t="s">
        <v>140</v>
      </c>
      <c r="B162" s="11">
        <v>0</v>
      </c>
      <c r="C162" s="11">
        <v>0</v>
      </c>
      <c r="D162" s="11">
        <v>0</v>
      </c>
      <c r="E162" s="10">
        <f t="shared" si="88"/>
        <v>0</v>
      </c>
      <c r="F162" s="10">
        <f t="shared" si="89"/>
        <v>0</v>
      </c>
      <c r="G162" s="10">
        <f t="shared" si="90"/>
        <v>0</v>
      </c>
      <c r="H162" s="10">
        <f t="shared" si="82"/>
        <v>0</v>
      </c>
      <c r="I162" s="10">
        <f t="shared" si="83"/>
        <v>0</v>
      </c>
      <c r="J162" s="10">
        <f t="shared" si="84"/>
        <v>0</v>
      </c>
      <c r="K162" s="10">
        <f t="shared" si="85"/>
        <v>0</v>
      </c>
      <c r="L162" s="10">
        <f t="shared" si="86"/>
        <v>0</v>
      </c>
      <c r="M162" s="10">
        <f t="shared" si="87"/>
        <v>0</v>
      </c>
      <c r="N162" s="5">
        <v>117257.64959999999</v>
      </c>
      <c r="O162" s="11">
        <f t="shared" si="75"/>
        <v>123801.43999999997</v>
      </c>
      <c r="P162" s="12">
        <v>3.3604000000000003</v>
      </c>
      <c r="Q162" s="11">
        <v>139210</v>
      </c>
      <c r="R162" s="7">
        <v>13.964399999999999</v>
      </c>
      <c r="S162" s="12"/>
      <c r="T162" s="10">
        <f t="shared" si="67"/>
        <v>1.1244618802495352</v>
      </c>
      <c r="U162" s="10">
        <f t="shared" si="68"/>
        <v>3</v>
      </c>
      <c r="V162" s="10">
        <f t="shared" si="69"/>
        <v>3</v>
      </c>
      <c r="W162" s="10">
        <f t="shared" si="70"/>
        <v>3</v>
      </c>
      <c r="X162" s="10">
        <f t="shared" si="71"/>
        <v>4.1555767170574924</v>
      </c>
      <c r="Y162" s="10">
        <f t="shared" si="72"/>
        <v>3</v>
      </c>
      <c r="Z162" s="10">
        <f t="shared" si="73"/>
        <v>3</v>
      </c>
      <c r="AA162" s="10">
        <f t="shared" si="74"/>
        <v>3</v>
      </c>
      <c r="AB162" s="12"/>
      <c r="AC162" s="10">
        <f t="shared" si="76"/>
        <v>1.1244618802495352</v>
      </c>
      <c r="AD162" s="10">
        <f t="shared" si="77"/>
        <v>1.1244618802495352</v>
      </c>
      <c r="AE162" s="10">
        <f t="shared" si="78"/>
        <v>1.1244618802495352</v>
      </c>
      <c r="AF162" s="10">
        <f t="shared" si="79"/>
        <v>1.1244618802495352</v>
      </c>
      <c r="AG162" s="10">
        <f t="shared" si="80"/>
        <v>4.1555767170574924</v>
      </c>
      <c r="AH162" s="10">
        <f t="shared" si="81"/>
        <v>4.1555767170574924</v>
      </c>
      <c r="AI162" s="10">
        <f t="shared" si="81"/>
        <v>4.1555767170574924</v>
      </c>
      <c r="AJ162" s="10">
        <f t="shared" si="81"/>
        <v>4.1555767170574924</v>
      </c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</row>
    <row r="163" spans="1:61" s="7" customFormat="1" x14ac:dyDescent="0.3">
      <c r="A163" s="7" t="s">
        <v>141</v>
      </c>
      <c r="B163" s="11">
        <v>0</v>
      </c>
      <c r="C163" s="11">
        <v>0</v>
      </c>
      <c r="D163" s="11">
        <v>0</v>
      </c>
      <c r="E163" s="10">
        <f t="shared" si="88"/>
        <v>0</v>
      </c>
      <c r="F163" s="10">
        <f t="shared" si="89"/>
        <v>0</v>
      </c>
      <c r="G163" s="10">
        <f t="shared" si="90"/>
        <v>0</v>
      </c>
      <c r="H163" s="10">
        <f t="shared" si="82"/>
        <v>0</v>
      </c>
      <c r="I163" s="10">
        <f t="shared" si="83"/>
        <v>0</v>
      </c>
      <c r="J163" s="10">
        <f t="shared" si="84"/>
        <v>0</v>
      </c>
      <c r="K163" s="10">
        <f t="shared" si="85"/>
        <v>0</v>
      </c>
      <c r="L163" s="10">
        <f t="shared" si="86"/>
        <v>0</v>
      </c>
      <c r="M163" s="10">
        <f t="shared" si="87"/>
        <v>0</v>
      </c>
      <c r="N163" s="5">
        <v>87490.806000000011</v>
      </c>
      <c r="O163" s="11">
        <f t="shared" si="75"/>
        <v>92373.4</v>
      </c>
      <c r="P163" s="12">
        <v>4.3820000000000006</v>
      </c>
      <c r="Q163" s="11">
        <v>49160</v>
      </c>
      <c r="R163" s="7">
        <v>9.7739999999999991</v>
      </c>
      <c r="S163" s="12"/>
      <c r="T163" s="10">
        <f t="shared" si="67"/>
        <v>0.53218783762425115</v>
      </c>
      <c r="U163" s="10">
        <f t="shared" si="68"/>
        <v>1</v>
      </c>
      <c r="V163" s="10">
        <f t="shared" si="69"/>
        <v>1</v>
      </c>
      <c r="W163" s="10">
        <f t="shared" si="70"/>
        <v>1</v>
      </c>
      <c r="X163" s="10">
        <f t="shared" si="71"/>
        <v>2.2304883614787765</v>
      </c>
      <c r="Y163" s="10">
        <f t="shared" si="72"/>
        <v>3</v>
      </c>
      <c r="Z163" s="10">
        <f t="shared" si="73"/>
        <v>3</v>
      </c>
      <c r="AA163" s="10">
        <f t="shared" si="74"/>
        <v>3</v>
      </c>
      <c r="AB163" s="12"/>
      <c r="AC163" s="10">
        <f t="shared" si="76"/>
        <v>0.53218783762425115</v>
      </c>
      <c r="AD163" s="10">
        <f t="shared" si="77"/>
        <v>0.53218783762425115</v>
      </c>
      <c r="AE163" s="10">
        <f t="shared" si="78"/>
        <v>0.53218783762425115</v>
      </c>
      <c r="AF163" s="10">
        <f t="shared" si="79"/>
        <v>0.53218783762425115</v>
      </c>
      <c r="AG163" s="10">
        <f t="shared" si="80"/>
        <v>2.2304883614787765</v>
      </c>
      <c r="AH163" s="10">
        <f t="shared" si="81"/>
        <v>2.2304883614787765</v>
      </c>
      <c r="AI163" s="10">
        <f t="shared" si="81"/>
        <v>2.2304883614787765</v>
      </c>
      <c r="AJ163" s="10">
        <f t="shared" si="81"/>
        <v>2.2304883614787765</v>
      </c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</row>
    <row r="164" spans="1:61" s="7" customFormat="1" x14ac:dyDescent="0.3">
      <c r="A164" s="7" t="s">
        <v>142</v>
      </c>
      <c r="B164" s="11">
        <v>253.86205139453438</v>
      </c>
      <c r="C164" s="11">
        <v>0</v>
      </c>
      <c r="D164" s="11">
        <v>21809.818383694186</v>
      </c>
      <c r="E164" s="10">
        <f t="shared" si="88"/>
        <v>999.14563668531355</v>
      </c>
      <c r="F164" s="10">
        <f t="shared" si="89"/>
        <v>18030.686815040684</v>
      </c>
      <c r="G164" s="10">
        <f t="shared" si="90"/>
        <v>69762.262693700119</v>
      </c>
      <c r="H164" s="10">
        <f t="shared" si="82"/>
        <v>0.21187249098439268</v>
      </c>
      <c r="I164" s="10">
        <f t="shared" si="83"/>
        <v>1.634450574030609</v>
      </c>
      <c r="J164" s="10">
        <f t="shared" si="84"/>
        <v>78.020782932572473</v>
      </c>
      <c r="K164" s="10">
        <f t="shared" si="85"/>
        <v>75.918923300092047</v>
      </c>
      <c r="L164" s="10">
        <f t="shared" si="86"/>
        <v>0</v>
      </c>
      <c r="M164" s="10">
        <f t="shared" si="87"/>
        <v>0</v>
      </c>
      <c r="N164" s="5">
        <v>205483.59</v>
      </c>
      <c r="O164" s="11">
        <f t="shared" si="75"/>
        <v>216951</v>
      </c>
      <c r="P164" s="12">
        <v>87.722000000000008</v>
      </c>
      <c r="Q164" s="11">
        <v>230100</v>
      </c>
      <c r="R164" s="7">
        <v>57.307000000000002</v>
      </c>
      <c r="S164" s="12"/>
      <c r="T164" s="10">
        <f t="shared" si="67"/>
        <v>1.0606081557586735</v>
      </c>
      <c r="U164" s="10">
        <f t="shared" si="68"/>
        <v>3</v>
      </c>
      <c r="V164" s="10">
        <f t="shared" si="69"/>
        <v>3</v>
      </c>
      <c r="W164" s="10">
        <f t="shared" si="70"/>
        <v>4</v>
      </c>
      <c r="X164" s="10">
        <f t="shared" si="71"/>
        <v>0.65327967898588724</v>
      </c>
      <c r="Y164" s="10">
        <f t="shared" si="72"/>
        <v>1</v>
      </c>
      <c r="Z164" s="10">
        <f t="shared" si="73"/>
        <v>1</v>
      </c>
      <c r="AA164" s="10">
        <f t="shared" si="74"/>
        <v>2</v>
      </c>
      <c r="AB164" s="12"/>
      <c r="AC164" s="10">
        <f t="shared" si="76"/>
        <v>1.0606081557586735</v>
      </c>
      <c r="AD164" s="10">
        <f t="shared" si="77"/>
        <v>1.0652135534599301</v>
      </c>
      <c r="AE164" s="10">
        <f t="shared" si="78"/>
        <v>1.1437176450675068</v>
      </c>
      <c r="AF164" s="10">
        <f t="shared" si="79"/>
        <v>1.3821658470977325</v>
      </c>
      <c r="AG164" s="10">
        <f t="shared" si="80"/>
        <v>0.65327967898588724</v>
      </c>
      <c r="AH164" s="10">
        <f t="shared" si="81"/>
        <v>0.65569495099273145</v>
      </c>
      <c r="AI164" s="10">
        <f t="shared" si="81"/>
        <v>0.67191184165922579</v>
      </c>
      <c r="AJ164" s="10">
        <f t="shared" si="81"/>
        <v>1.5426892106036394</v>
      </c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</row>
    <row r="165" spans="1:61" s="7" customFormat="1" x14ac:dyDescent="0.3">
      <c r="A165" s="7" t="s">
        <v>143</v>
      </c>
      <c r="B165" s="11">
        <v>0</v>
      </c>
      <c r="C165" s="11">
        <v>0</v>
      </c>
      <c r="D165" s="11">
        <v>0</v>
      </c>
      <c r="E165" s="10">
        <f t="shared" si="88"/>
        <v>0</v>
      </c>
      <c r="F165" s="10">
        <f t="shared" si="89"/>
        <v>0</v>
      </c>
      <c r="G165" s="10">
        <f t="shared" si="90"/>
        <v>0</v>
      </c>
      <c r="H165" s="10">
        <f t="shared" si="82"/>
        <v>0</v>
      </c>
      <c r="I165" s="10">
        <f t="shared" si="83"/>
        <v>0</v>
      </c>
      <c r="J165" s="10">
        <f t="shared" si="84"/>
        <v>0</v>
      </c>
      <c r="K165" s="10">
        <f t="shared" si="85"/>
        <v>0</v>
      </c>
      <c r="L165" s="10">
        <f t="shared" si="86"/>
        <v>0</v>
      </c>
      <c r="M165" s="10">
        <f t="shared" si="87"/>
        <v>0</v>
      </c>
      <c r="N165" s="5">
        <v>26451.909899999999</v>
      </c>
      <c r="O165" s="11">
        <f t="shared" si="75"/>
        <v>27928.109999999997</v>
      </c>
      <c r="P165" s="12">
        <v>2.94</v>
      </c>
      <c r="Q165" s="11">
        <v>38200</v>
      </c>
      <c r="R165" s="7">
        <v>0.223</v>
      </c>
      <c r="S165" s="12"/>
      <c r="T165" s="10">
        <f t="shared" si="67"/>
        <v>1.3677975344554287</v>
      </c>
      <c r="U165" s="10">
        <f t="shared" si="68"/>
        <v>3</v>
      </c>
      <c r="V165" s="10">
        <f t="shared" si="69"/>
        <v>3</v>
      </c>
      <c r="W165" s="10">
        <f t="shared" si="70"/>
        <v>3</v>
      </c>
      <c r="X165" s="10">
        <f t="shared" si="71"/>
        <v>7.585034013605442E-2</v>
      </c>
      <c r="Y165" s="10">
        <f t="shared" si="72"/>
        <v>1</v>
      </c>
      <c r="Z165" s="10">
        <f t="shared" si="73"/>
        <v>1</v>
      </c>
      <c r="AA165" s="10">
        <f t="shared" si="74"/>
        <v>1</v>
      </c>
      <c r="AB165" s="12"/>
      <c r="AC165" s="10">
        <f t="shared" si="76"/>
        <v>1.3677975344554287</v>
      </c>
      <c r="AD165" s="10">
        <f t="shared" si="77"/>
        <v>1.3677975344554287</v>
      </c>
      <c r="AE165" s="10">
        <f t="shared" si="78"/>
        <v>1.3677975344554287</v>
      </c>
      <c r="AF165" s="10">
        <f t="shared" si="79"/>
        <v>1.3677975344554287</v>
      </c>
      <c r="AG165" s="10">
        <f t="shared" si="80"/>
        <v>7.585034013605442E-2</v>
      </c>
      <c r="AH165" s="10">
        <f t="shared" si="81"/>
        <v>7.585034013605442E-2</v>
      </c>
      <c r="AI165" s="10">
        <f t="shared" si="81"/>
        <v>7.585034013605442E-2</v>
      </c>
      <c r="AJ165" s="10">
        <f t="shared" si="81"/>
        <v>7.585034013605442E-2</v>
      </c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</row>
    <row r="166" spans="1:61" s="7" customFormat="1" x14ac:dyDescent="0.3">
      <c r="A166" s="7" t="s">
        <v>144</v>
      </c>
      <c r="B166" s="11">
        <v>0</v>
      </c>
      <c r="C166" s="11">
        <v>0</v>
      </c>
      <c r="D166" s="11">
        <v>0</v>
      </c>
      <c r="E166" s="10">
        <f t="shared" si="88"/>
        <v>0</v>
      </c>
      <c r="F166" s="10">
        <f t="shared" si="89"/>
        <v>0</v>
      </c>
      <c r="G166" s="10">
        <f t="shared" si="90"/>
        <v>0</v>
      </c>
      <c r="H166" s="10">
        <f t="shared" si="82"/>
        <v>0</v>
      </c>
      <c r="I166" s="10">
        <f t="shared" si="83"/>
        <v>0</v>
      </c>
      <c r="J166" s="10">
        <f t="shared" si="84"/>
        <v>0</v>
      </c>
      <c r="K166" s="10">
        <f t="shared" si="85"/>
        <v>0</v>
      </c>
      <c r="L166" s="10">
        <f t="shared" si="86"/>
        <v>0</v>
      </c>
      <c r="M166" s="10">
        <f t="shared" si="87"/>
        <v>0</v>
      </c>
      <c r="N166" s="5">
        <v>398.13150000000002</v>
      </c>
      <c r="O166" s="11">
        <f t="shared" si="75"/>
        <v>420.34999999999997</v>
      </c>
      <c r="P166" s="12">
        <v>0.1</v>
      </c>
      <c r="Q166" s="11">
        <v>350</v>
      </c>
      <c r="R166" s="7">
        <v>0</v>
      </c>
      <c r="S166" s="12"/>
      <c r="T166" s="10">
        <f t="shared" si="67"/>
        <v>0.8326394671107411</v>
      </c>
      <c r="U166" s="10">
        <f t="shared" si="68"/>
        <v>1</v>
      </c>
      <c r="V166" s="10">
        <f t="shared" si="69"/>
        <v>1</v>
      </c>
      <c r="W166" s="10">
        <f t="shared" si="70"/>
        <v>1</v>
      </c>
      <c r="X166" s="10">
        <f t="shared" si="71"/>
        <v>0</v>
      </c>
      <c r="Y166" s="10">
        <f t="shared" si="72"/>
        <v>1</v>
      </c>
      <c r="Z166" s="10">
        <f t="shared" si="73"/>
        <v>1</v>
      </c>
      <c r="AA166" s="10">
        <f t="shared" si="74"/>
        <v>1</v>
      </c>
      <c r="AB166" s="12"/>
      <c r="AC166" s="10">
        <f t="shared" si="76"/>
        <v>0.8326394671107411</v>
      </c>
      <c r="AD166" s="10">
        <f t="shared" si="77"/>
        <v>0.8326394671107411</v>
      </c>
      <c r="AE166" s="10">
        <f t="shared" si="78"/>
        <v>0.8326394671107411</v>
      </c>
      <c r="AF166" s="10">
        <f t="shared" si="79"/>
        <v>0.8326394671107411</v>
      </c>
      <c r="AG166" s="10">
        <f t="shared" si="80"/>
        <v>0</v>
      </c>
      <c r="AH166" s="10">
        <f t="shared" si="81"/>
        <v>0</v>
      </c>
      <c r="AI166" s="10">
        <f t="shared" si="81"/>
        <v>0</v>
      </c>
      <c r="AJ166" s="10">
        <f t="shared" si="81"/>
        <v>0</v>
      </c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</row>
    <row r="167" spans="1:61" s="7" customFormat="1" x14ac:dyDescent="0.3">
      <c r="A167" s="7" t="s">
        <v>145</v>
      </c>
      <c r="B167" s="11">
        <v>6308.0873376823683</v>
      </c>
      <c r="C167" s="11">
        <v>16201.620162016212</v>
      </c>
      <c r="D167" s="11">
        <v>0</v>
      </c>
      <c r="E167" s="10">
        <f t="shared" si="88"/>
        <v>372.64327456636084</v>
      </c>
      <c r="F167" s="10">
        <f t="shared" si="89"/>
        <v>4596.5578326567165</v>
      </c>
      <c r="G167" s="10">
        <f t="shared" si="90"/>
        <v>42899.612288445103</v>
      </c>
      <c r="H167" s="10">
        <f t="shared" si="82"/>
        <v>0.10958730370448908</v>
      </c>
      <c r="I167" s="10">
        <f t="shared" si="83"/>
        <v>0.43559567479414035</v>
      </c>
      <c r="J167" s="10">
        <f t="shared" si="84"/>
        <v>51.714219258922782</v>
      </c>
      <c r="K167" s="10">
        <f t="shared" si="85"/>
        <v>44.891910943201822</v>
      </c>
      <c r="L167" s="10">
        <f t="shared" si="86"/>
        <v>0</v>
      </c>
      <c r="M167" s="10">
        <f t="shared" si="87"/>
        <v>0</v>
      </c>
      <c r="N167" s="5">
        <v>1888.2903000000003</v>
      </c>
      <c r="O167" s="11">
        <f t="shared" si="75"/>
        <v>1993.67</v>
      </c>
      <c r="P167" s="12">
        <v>0.76800000000000002</v>
      </c>
      <c r="Q167" s="11">
        <v>540</v>
      </c>
      <c r="R167" s="7">
        <v>0.3362</v>
      </c>
      <c r="S167" s="12"/>
      <c r="T167" s="10">
        <f t="shared" si="67"/>
        <v>0.27085726323814874</v>
      </c>
      <c r="U167" s="10">
        <f t="shared" si="68"/>
        <v>1</v>
      </c>
      <c r="V167" s="10">
        <f t="shared" si="69"/>
        <v>2</v>
      </c>
      <c r="W167" s="10">
        <f t="shared" si="70"/>
        <v>2</v>
      </c>
      <c r="X167" s="10">
        <f t="shared" si="71"/>
        <v>0.43776041666666665</v>
      </c>
      <c r="Y167" s="10">
        <f t="shared" si="72"/>
        <v>1</v>
      </c>
      <c r="Z167" s="10">
        <f t="shared" si="73"/>
        <v>2</v>
      </c>
      <c r="AA167" s="10">
        <f t="shared" si="74"/>
        <v>2</v>
      </c>
      <c r="AB167" s="12"/>
      <c r="AC167" s="10">
        <f t="shared" si="76"/>
        <v>0.27085726323814874</v>
      </c>
      <c r="AD167" s="10">
        <f t="shared" si="77"/>
        <v>0.4577704808550867</v>
      </c>
      <c r="AE167" s="10">
        <f t="shared" si="78"/>
        <v>2.5764333278108795</v>
      </c>
      <c r="AF167" s="10">
        <f t="shared" si="79"/>
        <v>21.788767593656473</v>
      </c>
      <c r="AG167" s="10">
        <f t="shared" si="80"/>
        <v>0.43776041666666665</v>
      </c>
      <c r="AH167" s="10">
        <f t="shared" si="81"/>
        <v>0.5804522183652201</v>
      </c>
      <c r="AI167" s="10">
        <f t="shared" si="81"/>
        <v>1.0049422848882035</v>
      </c>
      <c r="AJ167" s="10">
        <f t="shared" si="81"/>
        <v>67.773983410055706</v>
      </c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</row>
    <row r="168" spans="1:61" s="7" customFormat="1" x14ac:dyDescent="0.3">
      <c r="A168" s="7" t="s">
        <v>146</v>
      </c>
      <c r="B168" s="11">
        <v>253.90099156201384</v>
      </c>
      <c r="C168" s="11">
        <v>0</v>
      </c>
      <c r="D168" s="11">
        <v>43.619636767388378</v>
      </c>
      <c r="E168" s="10">
        <f t="shared" si="88"/>
        <v>4.2258763443089657</v>
      </c>
      <c r="F168" s="10">
        <f t="shared" si="89"/>
        <v>81.629535957289846</v>
      </c>
      <c r="G168" s="10">
        <f t="shared" si="90"/>
        <v>546.98867018870249</v>
      </c>
      <c r="H168" s="10">
        <f t="shared" si="82"/>
        <v>1.4150282074531055E-3</v>
      </c>
      <c r="I168" s="10">
        <f t="shared" si="83"/>
        <v>7.1722279521309875E-3</v>
      </c>
      <c r="J168" s="10">
        <f t="shared" si="84"/>
        <v>0.64928730852145433</v>
      </c>
      <c r="K168" s="10">
        <f t="shared" si="85"/>
        <v>0.6079457280267887</v>
      </c>
      <c r="L168" s="10">
        <f t="shared" si="86"/>
        <v>0</v>
      </c>
      <c r="M168" s="10">
        <f t="shared" si="87"/>
        <v>0</v>
      </c>
      <c r="N168" s="5">
        <v>92874.830100000006</v>
      </c>
      <c r="O168" s="11">
        <f t="shared" si="75"/>
        <v>98057.89</v>
      </c>
      <c r="P168" s="12">
        <v>0.92300000000000004</v>
      </c>
      <c r="Q168" s="11">
        <v>97310</v>
      </c>
      <c r="R168" s="7">
        <v>3.7807200000000001</v>
      </c>
      <c r="S168" s="12"/>
      <c r="T168" s="10">
        <f t="shared" si="67"/>
        <v>0.99237297478050979</v>
      </c>
      <c r="U168" s="10">
        <f t="shared" si="68"/>
        <v>1</v>
      </c>
      <c r="V168" s="10">
        <f t="shared" si="69"/>
        <v>1</v>
      </c>
      <c r="W168" s="10">
        <f t="shared" si="70"/>
        <v>1</v>
      </c>
      <c r="X168" s="10">
        <f t="shared" si="71"/>
        <v>4.0961213434452874</v>
      </c>
      <c r="Y168" s="10">
        <f t="shared" si="72"/>
        <v>3</v>
      </c>
      <c r="Z168" s="10">
        <f t="shared" si="73"/>
        <v>3</v>
      </c>
      <c r="AA168" s="10">
        <f t="shared" si="74"/>
        <v>4</v>
      </c>
      <c r="AB168" s="12"/>
      <c r="AC168" s="10">
        <f t="shared" si="76"/>
        <v>0.99237297478050979</v>
      </c>
      <c r="AD168" s="10">
        <f t="shared" si="77"/>
        <v>0.99241607051043323</v>
      </c>
      <c r="AE168" s="10">
        <f t="shared" si="78"/>
        <v>0.99320543748144374</v>
      </c>
      <c r="AF168" s="10">
        <f t="shared" si="79"/>
        <v>0.99795119668788201</v>
      </c>
      <c r="AG168" s="10">
        <f t="shared" si="80"/>
        <v>4.0961213434452874</v>
      </c>
      <c r="AH168" s="10">
        <f t="shared" si="81"/>
        <v>4.0976544184262762</v>
      </c>
      <c r="AI168" s="10">
        <f t="shared" si="81"/>
        <v>4.1038919046068596</v>
      </c>
      <c r="AJ168" s="10">
        <f t="shared" si="81"/>
        <v>4.7995745487773069</v>
      </c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</row>
    <row r="169" spans="1:61" s="7" customFormat="1" x14ac:dyDescent="0.3">
      <c r="A169" s="7" t="s">
        <v>147</v>
      </c>
      <c r="B169" s="11">
        <v>2094.7996803561587</v>
      </c>
      <c r="C169" s="11">
        <v>0</v>
      </c>
      <c r="D169" s="11">
        <v>0</v>
      </c>
      <c r="E169" s="10">
        <f t="shared" si="88"/>
        <v>18.4154241403382</v>
      </c>
      <c r="F169" s="10">
        <f t="shared" si="89"/>
        <v>376.71155526187914</v>
      </c>
      <c r="G169" s="10">
        <f t="shared" si="90"/>
        <v>3368.5021265362343</v>
      </c>
      <c r="H169" s="10">
        <f t="shared" si="82"/>
        <v>8.1949287947089035E-3</v>
      </c>
      <c r="I169" s="10">
        <f t="shared" si="83"/>
        <v>3.2268764768214477E-2</v>
      </c>
      <c r="J169" s="10">
        <f t="shared" si="84"/>
        <v>4.0776577626307313</v>
      </c>
      <c r="K169" s="10">
        <f t="shared" si="85"/>
        <v>3.7706394246410855</v>
      </c>
      <c r="L169" s="10">
        <f t="shared" si="86"/>
        <v>0</v>
      </c>
      <c r="M169" s="10">
        <f t="shared" si="87"/>
        <v>0</v>
      </c>
      <c r="N169" s="5">
        <v>352521.34320000006</v>
      </c>
      <c r="O169" s="11">
        <f t="shared" si="75"/>
        <v>372194.48</v>
      </c>
      <c r="P169" s="12">
        <v>42.32</v>
      </c>
      <c r="Q169" s="11">
        <v>377620</v>
      </c>
      <c r="R169" s="7">
        <v>61.093580000000003</v>
      </c>
      <c r="S169" s="12"/>
      <c r="T169" s="10">
        <f t="shared" si="67"/>
        <v>1.0145771103322114</v>
      </c>
      <c r="U169" s="10">
        <f t="shared" si="68"/>
        <v>3</v>
      </c>
      <c r="V169" s="10">
        <f t="shared" si="69"/>
        <v>3</v>
      </c>
      <c r="W169" s="10">
        <f t="shared" si="70"/>
        <v>3</v>
      </c>
      <c r="X169" s="10">
        <f t="shared" si="71"/>
        <v>1.4436101134215502</v>
      </c>
      <c r="Y169" s="10">
        <f t="shared" si="72"/>
        <v>3</v>
      </c>
      <c r="Z169" s="10">
        <f t="shared" si="73"/>
        <v>3</v>
      </c>
      <c r="AA169" s="10">
        <f t="shared" si="74"/>
        <v>3</v>
      </c>
      <c r="AB169" s="12"/>
      <c r="AC169" s="10">
        <f t="shared" si="76"/>
        <v>1.0145771103322114</v>
      </c>
      <c r="AD169" s="10">
        <f t="shared" si="77"/>
        <v>1.01462658829368</v>
      </c>
      <c r="AE169" s="10">
        <f t="shared" si="78"/>
        <v>1.0155892466628249</v>
      </c>
      <c r="AF169" s="10">
        <f t="shared" si="79"/>
        <v>1.0236274920749395</v>
      </c>
      <c r="AG169" s="10">
        <f t="shared" si="80"/>
        <v>1.4436101134215502</v>
      </c>
      <c r="AH169" s="10">
        <f t="shared" si="81"/>
        <v>1.4438037554063023</v>
      </c>
      <c r="AI169" s="10">
        <f t="shared" si="81"/>
        <v>1.4443726078631431</v>
      </c>
      <c r="AJ169" s="10">
        <f t="shared" si="81"/>
        <v>1.5399630851283255</v>
      </c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</row>
    <row r="170" spans="1:61" s="7" customFormat="1" x14ac:dyDescent="0.3">
      <c r="A170" s="7" t="s">
        <v>206</v>
      </c>
      <c r="B170" s="11">
        <v>0</v>
      </c>
      <c r="C170" s="11">
        <v>0</v>
      </c>
      <c r="D170" s="11">
        <v>0</v>
      </c>
      <c r="E170" s="10">
        <f t="shared" si="88"/>
        <v>0</v>
      </c>
      <c r="F170" s="10">
        <f t="shared" si="89"/>
        <v>0</v>
      </c>
      <c r="G170" s="10">
        <f t="shared" si="90"/>
        <v>0</v>
      </c>
      <c r="H170" s="10">
        <f t="shared" si="82"/>
        <v>0</v>
      </c>
      <c r="I170" s="10">
        <f t="shared" si="83"/>
        <v>0</v>
      </c>
      <c r="J170" s="10">
        <f t="shared" si="84"/>
        <v>0</v>
      </c>
      <c r="K170" s="10">
        <f t="shared" si="85"/>
        <v>0</v>
      </c>
      <c r="L170" s="10">
        <f t="shared" si="86"/>
        <v>0</v>
      </c>
      <c r="M170" s="10">
        <f t="shared" si="87"/>
        <v>0</v>
      </c>
      <c r="N170" s="5">
        <v>272154.87</v>
      </c>
      <c r="O170" s="11">
        <f t="shared" si="75"/>
        <v>287343</v>
      </c>
      <c r="P170" s="12">
        <v>4.9530000000000003</v>
      </c>
      <c r="Q170" s="11">
        <v>338380</v>
      </c>
      <c r="R170" s="7">
        <v>27.864999999999998</v>
      </c>
      <c r="S170" s="12"/>
      <c r="T170" s="10">
        <f t="shared" si="67"/>
        <v>1.1776169943238568</v>
      </c>
      <c r="U170" s="10">
        <f t="shared" si="68"/>
        <v>3</v>
      </c>
      <c r="V170" s="10">
        <f t="shared" si="69"/>
        <v>3</v>
      </c>
      <c r="W170" s="10">
        <f t="shared" si="70"/>
        <v>3</v>
      </c>
      <c r="X170" s="10">
        <f t="shared" si="71"/>
        <v>5.6258833030486564</v>
      </c>
      <c r="Y170" s="10">
        <f t="shared" si="72"/>
        <v>3</v>
      </c>
      <c r="Z170" s="10">
        <f t="shared" si="73"/>
        <v>3</v>
      </c>
      <c r="AA170" s="10">
        <f t="shared" si="74"/>
        <v>3</v>
      </c>
      <c r="AB170" s="12"/>
      <c r="AC170" s="10">
        <f t="shared" si="76"/>
        <v>1.1776169943238568</v>
      </c>
      <c r="AD170" s="10">
        <f t="shared" si="77"/>
        <v>1.1776169943238568</v>
      </c>
      <c r="AE170" s="10">
        <f t="shared" si="78"/>
        <v>1.1776169943238568</v>
      </c>
      <c r="AF170" s="10">
        <f t="shared" si="79"/>
        <v>1.1776169943238568</v>
      </c>
      <c r="AG170" s="10">
        <f t="shared" si="80"/>
        <v>5.6258833030486564</v>
      </c>
      <c r="AH170" s="10">
        <f t="shared" si="81"/>
        <v>5.6258833030486564</v>
      </c>
      <c r="AI170" s="10">
        <f t="shared" si="81"/>
        <v>5.6258833030486564</v>
      </c>
      <c r="AJ170" s="10">
        <f t="shared" si="81"/>
        <v>5.6258833030486564</v>
      </c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</row>
    <row r="171" spans="1:61" s="7" customFormat="1" x14ac:dyDescent="0.3">
      <c r="A171" s="7" t="s">
        <v>148</v>
      </c>
      <c r="B171" s="11">
        <v>0</v>
      </c>
      <c r="C171" s="11">
        <v>0</v>
      </c>
      <c r="D171" s="11">
        <v>0</v>
      </c>
      <c r="E171" s="10">
        <f t="shared" si="88"/>
        <v>0</v>
      </c>
      <c r="F171" s="10">
        <f t="shared" si="89"/>
        <v>0</v>
      </c>
      <c r="G171" s="10">
        <f t="shared" si="90"/>
        <v>0</v>
      </c>
      <c r="H171" s="10">
        <f t="shared" si="82"/>
        <v>0</v>
      </c>
      <c r="I171" s="10">
        <f t="shared" si="83"/>
        <v>0</v>
      </c>
      <c r="J171" s="10">
        <f t="shared" si="84"/>
        <v>0</v>
      </c>
      <c r="K171" s="10">
        <f t="shared" si="85"/>
        <v>0</v>
      </c>
      <c r="L171" s="10">
        <f t="shared" si="86"/>
        <v>0</v>
      </c>
      <c r="M171" s="10">
        <f t="shared" si="87"/>
        <v>0</v>
      </c>
      <c r="N171" s="5">
        <v>90241.593000000008</v>
      </c>
      <c r="O171" s="11">
        <f t="shared" si="75"/>
        <v>95277.7</v>
      </c>
      <c r="P171" s="12">
        <v>12.020000000000001</v>
      </c>
      <c r="Q171" s="11">
        <v>144150</v>
      </c>
      <c r="R171" s="7">
        <v>0.63700000000000001</v>
      </c>
      <c r="S171" s="12"/>
      <c r="T171" s="10">
        <f t="shared" si="67"/>
        <v>1.512945841471824</v>
      </c>
      <c r="U171" s="10">
        <f t="shared" si="68"/>
        <v>3</v>
      </c>
      <c r="V171" s="10">
        <f t="shared" si="69"/>
        <v>3</v>
      </c>
      <c r="W171" s="10">
        <f t="shared" si="70"/>
        <v>3</v>
      </c>
      <c r="X171" s="10">
        <f t="shared" si="71"/>
        <v>5.2995008319467546E-2</v>
      </c>
      <c r="Y171" s="10">
        <f t="shared" si="72"/>
        <v>1</v>
      </c>
      <c r="Z171" s="10">
        <f t="shared" si="73"/>
        <v>1</v>
      </c>
      <c r="AA171" s="10">
        <f t="shared" si="74"/>
        <v>1</v>
      </c>
      <c r="AB171" s="12"/>
      <c r="AC171" s="10">
        <f t="shared" si="76"/>
        <v>1.512945841471824</v>
      </c>
      <c r="AD171" s="10">
        <f t="shared" si="77"/>
        <v>1.512945841471824</v>
      </c>
      <c r="AE171" s="10">
        <f t="shared" si="78"/>
        <v>1.512945841471824</v>
      </c>
      <c r="AF171" s="10">
        <f t="shared" si="79"/>
        <v>1.512945841471824</v>
      </c>
      <c r="AG171" s="10">
        <f t="shared" si="80"/>
        <v>5.2995008319467546E-2</v>
      </c>
      <c r="AH171" s="10">
        <f t="shared" si="81"/>
        <v>5.2995008319467546E-2</v>
      </c>
      <c r="AI171" s="10">
        <f t="shared" si="81"/>
        <v>5.2995008319467546E-2</v>
      </c>
      <c r="AJ171" s="10">
        <f t="shared" si="81"/>
        <v>5.2995008319467546E-2</v>
      </c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</row>
    <row r="172" spans="1:61" s="7" customFormat="1" x14ac:dyDescent="0.3">
      <c r="A172" s="7" t="s">
        <v>149</v>
      </c>
      <c r="B172" s="11">
        <v>3454.4287801593928</v>
      </c>
      <c r="C172" s="11">
        <v>0</v>
      </c>
      <c r="D172" s="11">
        <v>0</v>
      </c>
      <c r="E172" s="10">
        <f t="shared" si="88"/>
        <v>30.367949616266181</v>
      </c>
      <c r="F172" s="10">
        <f t="shared" si="89"/>
        <v>621.21607641929245</v>
      </c>
      <c r="G172" s="10">
        <f t="shared" si="90"/>
        <v>5554.8274143122289</v>
      </c>
      <c r="H172" s="10">
        <f t="shared" si="82"/>
        <v>1.3513844853645523E-2</v>
      </c>
      <c r="I172" s="10">
        <f t="shared" si="83"/>
        <v>5.3212796794279309E-2</v>
      </c>
      <c r="J172" s="10">
        <f t="shared" si="84"/>
        <v>6.7242603018141818</v>
      </c>
      <c r="K172" s="10">
        <f t="shared" si="85"/>
        <v>6.2179718042869068</v>
      </c>
      <c r="L172" s="10">
        <f t="shared" si="86"/>
        <v>0</v>
      </c>
      <c r="M172" s="10">
        <f t="shared" si="87"/>
        <v>0</v>
      </c>
      <c r="N172" s="5">
        <v>303886.05</v>
      </c>
      <c r="O172" s="11">
        <f t="shared" si="75"/>
        <v>320844.99999999994</v>
      </c>
      <c r="P172" s="12">
        <v>35.056000000000004</v>
      </c>
      <c r="Q172" s="11">
        <v>413110</v>
      </c>
      <c r="R172" s="7">
        <v>10.705</v>
      </c>
      <c r="S172" s="12"/>
      <c r="T172" s="10">
        <f t="shared" si="67"/>
        <v>1.2875687637332671</v>
      </c>
      <c r="U172" s="10">
        <f t="shared" si="68"/>
        <v>3</v>
      </c>
      <c r="V172" s="10">
        <f t="shared" si="69"/>
        <v>3</v>
      </c>
      <c r="W172" s="10">
        <f t="shared" si="70"/>
        <v>3</v>
      </c>
      <c r="X172" s="10">
        <f t="shared" si="71"/>
        <v>0.30536855317206751</v>
      </c>
      <c r="Y172" s="10">
        <f t="shared" si="72"/>
        <v>1</v>
      </c>
      <c r="Z172" s="10">
        <f t="shared" si="73"/>
        <v>1</v>
      </c>
      <c r="AA172" s="10">
        <f t="shared" si="74"/>
        <v>1</v>
      </c>
      <c r="AB172" s="12"/>
      <c r="AC172" s="10">
        <f t="shared" si="76"/>
        <v>1.2875687637332671</v>
      </c>
      <c r="AD172" s="10">
        <f t="shared" si="77"/>
        <v>1.2876634136409055</v>
      </c>
      <c r="AE172" s="10">
        <f t="shared" si="78"/>
        <v>1.2895049512269767</v>
      </c>
      <c r="AF172" s="10">
        <f t="shared" si="79"/>
        <v>1.3048818819502013</v>
      </c>
      <c r="AG172" s="10">
        <f t="shared" si="80"/>
        <v>0.30536855317206751</v>
      </c>
      <c r="AH172" s="10">
        <f t="shared" si="81"/>
        <v>0.30575404623612634</v>
      </c>
      <c r="AI172" s="10">
        <f t="shared" si="81"/>
        <v>0.30688649009568342</v>
      </c>
      <c r="AJ172" s="10">
        <f t="shared" si="81"/>
        <v>0.49718337237032689</v>
      </c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</row>
    <row r="173" spans="1:61" s="7" customFormat="1" x14ac:dyDescent="0.3">
      <c r="A173" s="7" t="s">
        <v>150</v>
      </c>
      <c r="B173" s="11">
        <v>1709.1912834006039</v>
      </c>
      <c r="C173" s="11">
        <v>0</v>
      </c>
      <c r="D173" s="11">
        <v>4050.3948426860629</v>
      </c>
      <c r="E173" s="10">
        <f t="shared" si="88"/>
        <v>200.16669185809704</v>
      </c>
      <c r="F173" s="10">
        <f t="shared" si="89"/>
        <v>3647.4447187977207</v>
      </c>
      <c r="G173" s="10">
        <f t="shared" si="90"/>
        <v>15628.468877327703</v>
      </c>
      <c r="H173" s="10">
        <f t="shared" si="82"/>
        <v>4.5849727698469858E-2</v>
      </c>
      <c r="I173" s="10">
        <f t="shared" si="83"/>
        <v>0.32914334266608858</v>
      </c>
      <c r="J173" s="10">
        <f t="shared" si="84"/>
        <v>17.724848778638595</v>
      </c>
      <c r="K173" s="10">
        <f t="shared" si="85"/>
        <v>17.090910465814865</v>
      </c>
      <c r="L173" s="10">
        <f t="shared" si="86"/>
        <v>0</v>
      </c>
      <c r="M173" s="10">
        <f t="shared" si="87"/>
        <v>0</v>
      </c>
      <c r="N173" s="5">
        <v>44861.805495000008</v>
      </c>
      <c r="O173" s="11">
        <f t="shared" si="75"/>
        <v>47365.405500000001</v>
      </c>
      <c r="P173" s="12">
        <v>0.03</v>
      </c>
      <c r="Q173" s="11">
        <v>3898</v>
      </c>
      <c r="R173" s="7">
        <v>2.5009999999999999</v>
      </c>
      <c r="S173" s="12"/>
      <c r="T173" s="10">
        <f t="shared" si="67"/>
        <v>8.229635023392759E-2</v>
      </c>
      <c r="U173" s="10">
        <f t="shared" si="68"/>
        <v>1</v>
      </c>
      <c r="V173" s="10">
        <f t="shared" si="69"/>
        <v>1</v>
      </c>
      <c r="W173" s="10">
        <f t="shared" si="70"/>
        <v>1</v>
      </c>
      <c r="X173" s="10">
        <f t="shared" si="71"/>
        <v>83.36666666666666</v>
      </c>
      <c r="Y173" s="10">
        <f t="shared" si="72"/>
        <v>3</v>
      </c>
      <c r="Z173" s="10">
        <f t="shared" si="73"/>
        <v>4</v>
      </c>
      <c r="AA173" s="10">
        <f t="shared" si="74"/>
        <v>5</v>
      </c>
      <c r="AB173" s="12"/>
      <c r="AC173" s="10">
        <f t="shared" si="76"/>
        <v>8.229635023392759E-2</v>
      </c>
      <c r="AD173" s="10">
        <f t="shared" si="77"/>
        <v>8.6522360541346932E-2</v>
      </c>
      <c r="AE173" s="10">
        <f t="shared" si="78"/>
        <v>0.15930286332706939</v>
      </c>
      <c r="AF173" s="10">
        <f t="shared" si="79"/>
        <v>0.41225169870714401</v>
      </c>
      <c r="AG173" s="10">
        <f t="shared" si="80"/>
        <v>83.36666666666666</v>
      </c>
      <c r="AH173" s="10">
        <f t="shared" si="81"/>
        <v>84.894990923282336</v>
      </c>
      <c r="AI173" s="10">
        <f t="shared" si="81"/>
        <v>94.338111422202957</v>
      </c>
      <c r="AJ173" s="10">
        <f t="shared" si="81"/>
        <v>674.19495928795322</v>
      </c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</row>
    <row r="174" spans="1:61" s="7" customFormat="1" x14ac:dyDescent="0.3">
      <c r="A174" s="7" t="s">
        <v>151</v>
      </c>
      <c r="B174" s="11">
        <v>1135.4557207828263</v>
      </c>
      <c r="C174" s="11">
        <v>0</v>
      </c>
      <c r="D174" s="11">
        <v>17759.423541008124</v>
      </c>
      <c r="E174" s="10">
        <f t="shared" si="88"/>
        <v>821.75458500389539</v>
      </c>
      <c r="F174" s="10">
        <f t="shared" si="89"/>
        <v>14849.14756590021</v>
      </c>
      <c r="G174" s="10">
        <f t="shared" si="90"/>
        <v>58299.855471195515</v>
      </c>
      <c r="H174" s="10">
        <f t="shared" si="82"/>
        <v>0.17615800361921261</v>
      </c>
      <c r="I174" s="10">
        <f t="shared" si="83"/>
        <v>1.3452162646675812</v>
      </c>
      <c r="J174" s="10">
        <f t="shared" si="84"/>
        <v>65.339058073186337</v>
      </c>
      <c r="K174" s="10">
        <f t="shared" si="85"/>
        <v>63.491425749297207</v>
      </c>
      <c r="L174" s="10">
        <f t="shared" si="86"/>
        <v>0</v>
      </c>
      <c r="M174" s="10">
        <f t="shared" si="87"/>
        <v>0</v>
      </c>
      <c r="N174" s="5">
        <v>138136.05000000005</v>
      </c>
      <c r="O174" s="11">
        <f t="shared" si="75"/>
        <v>145845.00000000003</v>
      </c>
      <c r="P174" s="11">
        <v>29.400000000000002</v>
      </c>
      <c r="Q174" s="11">
        <v>172592.981</v>
      </c>
      <c r="R174" s="7">
        <v>8.4190000000000005</v>
      </c>
      <c r="S174" s="11"/>
      <c r="T174" s="10">
        <f t="shared" si="67"/>
        <v>1.1834000548527543</v>
      </c>
      <c r="U174" s="10">
        <f t="shared" si="68"/>
        <v>3</v>
      </c>
      <c r="V174" s="10">
        <f t="shared" si="69"/>
        <v>3</v>
      </c>
      <c r="W174" s="10">
        <f t="shared" si="70"/>
        <v>4</v>
      </c>
      <c r="X174" s="10">
        <f t="shared" si="71"/>
        <v>0.28636054421768709</v>
      </c>
      <c r="Y174" s="10">
        <f t="shared" si="72"/>
        <v>1</v>
      </c>
      <c r="Z174" s="10">
        <f t="shared" si="73"/>
        <v>1</v>
      </c>
      <c r="AA174" s="10">
        <f t="shared" si="74"/>
        <v>2</v>
      </c>
      <c r="AB174" s="11"/>
      <c r="AC174" s="10">
        <f t="shared" si="76"/>
        <v>1.1834000548527543</v>
      </c>
      <c r="AD174" s="10">
        <f t="shared" si="77"/>
        <v>1.189034492680612</v>
      </c>
      <c r="AE174" s="10">
        <f t="shared" si="78"/>
        <v>1.2852146358524472</v>
      </c>
      <c r="AF174" s="10">
        <f t="shared" si="79"/>
        <v>1.5831385132928484</v>
      </c>
      <c r="AG174" s="10">
        <f t="shared" si="80"/>
        <v>0.28636054421768709</v>
      </c>
      <c r="AH174" s="10">
        <f t="shared" si="81"/>
        <v>0.29235231304827253</v>
      </c>
      <c r="AI174" s="10">
        <f t="shared" si="81"/>
        <v>0.33211619947848914</v>
      </c>
      <c r="AJ174" s="10">
        <f t="shared" si="81"/>
        <v>2.5087774854825282</v>
      </c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</row>
    <row r="175" spans="1:61" s="7" customFormat="1" x14ac:dyDescent="0.3">
      <c r="A175" s="7" t="s">
        <v>152</v>
      </c>
      <c r="B175" s="11">
        <v>0</v>
      </c>
      <c r="C175" s="11">
        <v>0</v>
      </c>
      <c r="D175" s="11">
        <v>0</v>
      </c>
      <c r="E175" s="10">
        <f t="shared" si="88"/>
        <v>0</v>
      </c>
      <c r="F175" s="10">
        <f t="shared" si="89"/>
        <v>0</v>
      </c>
      <c r="G175" s="10">
        <f t="shared" si="90"/>
        <v>0</v>
      </c>
      <c r="H175" s="10">
        <f t="shared" si="82"/>
        <v>0</v>
      </c>
      <c r="I175" s="10">
        <f t="shared" si="83"/>
        <v>0</v>
      </c>
      <c r="J175" s="10">
        <f t="shared" si="84"/>
        <v>0</v>
      </c>
      <c r="K175" s="10">
        <f t="shared" si="85"/>
        <v>0</v>
      </c>
      <c r="L175" s="10">
        <f t="shared" si="86"/>
        <v>0</v>
      </c>
      <c r="M175" s="10">
        <f t="shared" si="87"/>
        <v>0</v>
      </c>
      <c r="N175" s="5">
        <v>243221.55000000002</v>
      </c>
      <c r="O175" s="11">
        <f t="shared" si="75"/>
        <v>256794.99999999997</v>
      </c>
      <c r="P175" s="11">
        <v>19.254000000000001</v>
      </c>
      <c r="Q175" s="11">
        <v>395212</v>
      </c>
      <c r="R175" s="7">
        <v>5.1840000000000002</v>
      </c>
      <c r="S175" s="11"/>
      <c r="T175" s="10">
        <f t="shared" si="67"/>
        <v>1.5390175042348957</v>
      </c>
      <c r="U175" s="10">
        <f t="shared" si="68"/>
        <v>3</v>
      </c>
      <c r="V175" s="10">
        <f t="shared" si="69"/>
        <v>3</v>
      </c>
      <c r="W175" s="10">
        <f t="shared" si="70"/>
        <v>3</v>
      </c>
      <c r="X175" s="10">
        <f t="shared" si="71"/>
        <v>0.26924275475225928</v>
      </c>
      <c r="Y175" s="10">
        <f t="shared" si="72"/>
        <v>1</v>
      </c>
      <c r="Z175" s="10">
        <f t="shared" si="73"/>
        <v>1</v>
      </c>
      <c r="AA175" s="10">
        <f t="shared" si="74"/>
        <v>1</v>
      </c>
      <c r="AB175" s="11"/>
      <c r="AC175" s="10">
        <f t="shared" si="76"/>
        <v>1.5390175042348957</v>
      </c>
      <c r="AD175" s="10">
        <f t="shared" si="77"/>
        <v>1.5390175042348957</v>
      </c>
      <c r="AE175" s="10">
        <f t="shared" si="78"/>
        <v>1.5390175042348957</v>
      </c>
      <c r="AF175" s="10">
        <f t="shared" si="79"/>
        <v>1.5390175042348957</v>
      </c>
      <c r="AG175" s="10">
        <f t="shared" si="80"/>
        <v>0.26924275475225928</v>
      </c>
      <c r="AH175" s="10">
        <f t="shared" si="81"/>
        <v>0.26924275475225928</v>
      </c>
      <c r="AI175" s="10">
        <f t="shared" si="81"/>
        <v>0.26924275475225928</v>
      </c>
      <c r="AJ175" s="10">
        <f t="shared" si="81"/>
        <v>0.26924275475225928</v>
      </c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</row>
    <row r="176" spans="1:61" s="7" customFormat="1" x14ac:dyDescent="0.3">
      <c r="A176" s="7" t="s">
        <v>153</v>
      </c>
      <c r="B176" s="11">
        <v>24289.994788412831</v>
      </c>
      <c r="C176" s="11">
        <v>23208.820882088221</v>
      </c>
      <c r="D176" s="11">
        <v>174478.54706955349</v>
      </c>
      <c r="E176" s="10">
        <f t="shared" si="88"/>
        <v>8643.2181496067551</v>
      </c>
      <c r="F176" s="10">
        <f t="shared" si="89"/>
        <v>153207.93667025439</v>
      </c>
      <c r="G176" s="10">
        <f t="shared" si="90"/>
        <v>640814.40498264274</v>
      </c>
      <c r="H176" s="10">
        <f t="shared" si="82"/>
        <v>1.9036916476157473</v>
      </c>
      <c r="I176" s="10">
        <f t="shared" si="83"/>
        <v>13.903281811569981</v>
      </c>
      <c r="J176" s="10">
        <f t="shared" si="84"/>
        <v>723.98581299696843</v>
      </c>
      <c r="K176" s="10">
        <f t="shared" si="85"/>
        <v>695.4600227057208</v>
      </c>
      <c r="L176" s="10">
        <f t="shared" si="86"/>
        <v>0</v>
      </c>
      <c r="M176" s="10">
        <f t="shared" si="87"/>
        <v>0</v>
      </c>
      <c r="N176" s="5">
        <v>3557246.9400000004</v>
      </c>
      <c r="O176" s="11">
        <f>N176/0.663*0.8</f>
        <v>4292304</v>
      </c>
      <c r="P176" s="11">
        <v>613.80000000000007</v>
      </c>
      <c r="Q176" s="11">
        <v>4058103.5379999997</v>
      </c>
      <c r="R176" s="7">
        <v>444.39611177450001</v>
      </c>
      <c r="S176" s="11"/>
      <c r="T176" s="10">
        <f t="shared" si="67"/>
        <v>0.94543712141544489</v>
      </c>
      <c r="U176" s="10">
        <f t="shared" si="68"/>
        <v>1</v>
      </c>
      <c r="V176" s="10">
        <f t="shared" si="69"/>
        <v>1</v>
      </c>
      <c r="W176" s="10">
        <f t="shared" si="70"/>
        <v>2</v>
      </c>
      <c r="X176" s="10">
        <f t="shared" si="71"/>
        <v>0.72400800223932871</v>
      </c>
      <c r="Y176" s="10">
        <f t="shared" si="72"/>
        <v>1</v>
      </c>
      <c r="Z176" s="10">
        <f t="shared" si="73"/>
        <v>1</v>
      </c>
      <c r="AA176" s="10">
        <f t="shared" si="74"/>
        <v>2</v>
      </c>
      <c r="AB176" s="11"/>
      <c r="AC176" s="10">
        <f t="shared" si="76"/>
        <v>0.94543712141544489</v>
      </c>
      <c r="AD176" s="10">
        <f t="shared" si="77"/>
        <v>0.9474507761215436</v>
      </c>
      <c r="AE176" s="10">
        <f t="shared" si="78"/>
        <v>0.98113075743709055</v>
      </c>
      <c r="AF176" s="10">
        <f t="shared" si="79"/>
        <v>1.0947309284204105</v>
      </c>
      <c r="AG176" s="10">
        <f t="shared" si="80"/>
        <v>0.72400800223932871</v>
      </c>
      <c r="AH176" s="10">
        <f t="shared" si="81"/>
        <v>0.72710948749122795</v>
      </c>
      <c r="AI176" s="10">
        <f t="shared" si="81"/>
        <v>0.74665916191930581</v>
      </c>
      <c r="AJ176" s="10">
        <f t="shared" si="81"/>
        <v>1.9035221974119718</v>
      </c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</row>
    <row r="177" spans="1:61" s="7" customFormat="1" x14ac:dyDescent="0.3">
      <c r="A177" s="7" t="s">
        <v>154</v>
      </c>
      <c r="B177" s="11">
        <v>0</v>
      </c>
      <c r="C177" s="11">
        <v>0</v>
      </c>
      <c r="D177" s="11">
        <v>0</v>
      </c>
      <c r="E177" s="10">
        <f t="shared" si="88"/>
        <v>0</v>
      </c>
      <c r="F177" s="10">
        <f t="shared" si="89"/>
        <v>0</v>
      </c>
      <c r="G177" s="10">
        <f t="shared" si="90"/>
        <v>0</v>
      </c>
      <c r="H177" s="10">
        <f t="shared" si="82"/>
        <v>0</v>
      </c>
      <c r="I177" s="10">
        <f t="shared" si="83"/>
        <v>0</v>
      </c>
      <c r="J177" s="10">
        <f t="shared" si="84"/>
        <v>0</v>
      </c>
      <c r="K177" s="10">
        <f t="shared" si="85"/>
        <v>0</v>
      </c>
      <c r="L177" s="10">
        <f t="shared" si="86"/>
        <v>0</v>
      </c>
      <c r="M177" s="10">
        <f t="shared" si="87"/>
        <v>0</v>
      </c>
      <c r="N177" s="5">
        <v>101777.13</v>
      </c>
      <c r="O177" s="11">
        <f t="shared" si="75"/>
        <v>107457</v>
      </c>
      <c r="P177" s="11">
        <v>34.44</v>
      </c>
      <c r="Q177" s="11">
        <v>140634</v>
      </c>
      <c r="R177" s="7">
        <v>3.66</v>
      </c>
      <c r="S177" s="11"/>
      <c r="T177" s="10">
        <f t="shared" si="67"/>
        <v>1.3087467545157598</v>
      </c>
      <c r="U177" s="10">
        <f t="shared" si="68"/>
        <v>3</v>
      </c>
      <c r="V177" s="10">
        <f t="shared" si="69"/>
        <v>3</v>
      </c>
      <c r="W177" s="10">
        <f t="shared" si="70"/>
        <v>3</v>
      </c>
      <c r="X177" s="10">
        <f t="shared" si="71"/>
        <v>0.10627177700348434</v>
      </c>
      <c r="Y177" s="10">
        <f t="shared" si="72"/>
        <v>1</v>
      </c>
      <c r="Z177" s="10">
        <f t="shared" si="73"/>
        <v>1</v>
      </c>
      <c r="AA177" s="10">
        <f t="shared" si="74"/>
        <v>1</v>
      </c>
      <c r="AB177" s="11"/>
      <c r="AC177" s="10">
        <f t="shared" si="76"/>
        <v>1.3087467545157598</v>
      </c>
      <c r="AD177" s="10">
        <f t="shared" si="77"/>
        <v>1.3087467545157598</v>
      </c>
      <c r="AE177" s="10">
        <f t="shared" si="78"/>
        <v>1.3087467545157598</v>
      </c>
      <c r="AF177" s="10">
        <f t="shared" si="79"/>
        <v>1.3087467545157598</v>
      </c>
      <c r="AG177" s="10">
        <f t="shared" si="80"/>
        <v>0.10627177700348434</v>
      </c>
      <c r="AH177" s="10">
        <f t="shared" si="81"/>
        <v>0.10627177700348434</v>
      </c>
      <c r="AI177" s="10">
        <f t="shared" si="81"/>
        <v>0.10627177700348434</v>
      </c>
      <c r="AJ177" s="10">
        <f t="shared" si="81"/>
        <v>0.10627177700348434</v>
      </c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</row>
    <row r="178" spans="1:61" s="7" customFormat="1" x14ac:dyDescent="0.3">
      <c r="A178" s="7" t="s">
        <v>155</v>
      </c>
      <c r="B178" s="11">
        <v>1645.3466259297577</v>
      </c>
      <c r="C178" s="11">
        <v>0</v>
      </c>
      <c r="D178" s="11">
        <v>0</v>
      </c>
      <c r="E178" s="10">
        <f t="shared" si="88"/>
        <v>14.464273724358835</v>
      </c>
      <c r="F178" s="10">
        <f t="shared" si="89"/>
        <v>295.88561245794256</v>
      </c>
      <c r="G178" s="10">
        <f t="shared" si="90"/>
        <v>2645.7678317915793</v>
      </c>
      <c r="H178" s="10">
        <f t="shared" si="82"/>
        <v>6.4366529022080255E-3</v>
      </c>
      <c r="I178" s="10">
        <f t="shared" si="83"/>
        <v>2.5345288970674174E-2</v>
      </c>
      <c r="J178" s="10">
        <f t="shared" si="84"/>
        <v>3.2027694601805861</v>
      </c>
      <c r="K178" s="10">
        <f t="shared" si="85"/>
        <v>2.961623926673564</v>
      </c>
      <c r="L178" s="10">
        <f t="shared" si="86"/>
        <v>0</v>
      </c>
      <c r="M178" s="10">
        <f t="shared" si="87"/>
        <v>0</v>
      </c>
      <c r="N178" s="5">
        <v>262205.49420000002</v>
      </c>
      <c r="O178" s="11">
        <f t="shared" si="75"/>
        <v>276838.38</v>
      </c>
      <c r="P178" s="11">
        <v>9.7740000000000009</v>
      </c>
      <c r="Q178" s="11">
        <v>256825</v>
      </c>
      <c r="R178" s="7">
        <v>58.904000000000003</v>
      </c>
      <c r="S178" s="11"/>
      <c r="T178" s="10">
        <f t="shared" si="67"/>
        <v>0.92770735040423224</v>
      </c>
      <c r="U178" s="10">
        <f t="shared" si="68"/>
        <v>1</v>
      </c>
      <c r="V178" s="10">
        <f t="shared" si="69"/>
        <v>1</v>
      </c>
      <c r="W178" s="10">
        <f t="shared" si="70"/>
        <v>1</v>
      </c>
      <c r="X178" s="10">
        <f t="shared" si="71"/>
        <v>6.0266011868221812</v>
      </c>
      <c r="Y178" s="10">
        <f t="shared" si="72"/>
        <v>3</v>
      </c>
      <c r="Z178" s="10">
        <f t="shared" si="73"/>
        <v>3</v>
      </c>
      <c r="AA178" s="10">
        <f t="shared" si="74"/>
        <v>3</v>
      </c>
      <c r="AB178" s="11"/>
      <c r="AC178" s="10">
        <f t="shared" si="76"/>
        <v>0.92770735040423224</v>
      </c>
      <c r="AD178" s="10">
        <f t="shared" si="77"/>
        <v>0.92775959848386758</v>
      </c>
      <c r="AE178" s="10">
        <f t="shared" si="78"/>
        <v>0.9287761531203077</v>
      </c>
      <c r="AF178" s="10">
        <f t="shared" si="79"/>
        <v>0.93726443505337509</v>
      </c>
      <c r="AG178" s="10">
        <f t="shared" si="80"/>
        <v>6.0266011868221812</v>
      </c>
      <c r="AH178" s="10">
        <f t="shared" si="81"/>
        <v>6.0272597353081858</v>
      </c>
      <c r="AI178" s="10">
        <f t="shared" si="81"/>
        <v>6.0291943205413006</v>
      </c>
      <c r="AJ178" s="10">
        <f t="shared" si="81"/>
        <v>6.3542837589707979</v>
      </c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</row>
    <row r="179" spans="1:61" s="7" customFormat="1" x14ac:dyDescent="0.3">
      <c r="A179" s="7" t="s">
        <v>156</v>
      </c>
      <c r="B179" s="11">
        <v>363.20955838049184</v>
      </c>
      <c r="C179" s="11">
        <v>0</v>
      </c>
      <c r="D179" s="11">
        <v>0</v>
      </c>
      <c r="E179" s="10">
        <f t="shared" si="88"/>
        <v>3.1929821892394399</v>
      </c>
      <c r="F179" s="10">
        <f t="shared" si="89"/>
        <v>65.316621396577773</v>
      </c>
      <c r="G179" s="10">
        <f t="shared" si="90"/>
        <v>584.05210830228793</v>
      </c>
      <c r="H179" s="10">
        <f t="shared" si="82"/>
        <v>1.4208883533817114E-3</v>
      </c>
      <c r="I179" s="10">
        <f t="shared" si="83"/>
        <v>5.5949616141599086E-3</v>
      </c>
      <c r="J179" s="10">
        <f t="shared" si="84"/>
        <v>0.70700997765098228</v>
      </c>
      <c r="K179" s="10">
        <f t="shared" si="85"/>
        <v>0.65377720508488535</v>
      </c>
      <c r="L179" s="10">
        <f t="shared" si="86"/>
        <v>0</v>
      </c>
      <c r="M179" s="10">
        <f t="shared" si="87"/>
        <v>0</v>
      </c>
      <c r="N179" s="5">
        <v>258398.28300000005</v>
      </c>
      <c r="O179" s="11">
        <f t="shared" si="75"/>
        <v>272818.7</v>
      </c>
      <c r="P179" s="11">
        <v>265</v>
      </c>
      <c r="Q179" s="11">
        <v>215000</v>
      </c>
      <c r="R179" s="7">
        <v>22.621099999999998</v>
      </c>
      <c r="S179" s="11"/>
      <c r="T179" s="10">
        <f t="shared" si="67"/>
        <v>0.78806914628652647</v>
      </c>
      <c r="U179" s="10">
        <f t="shared" si="68"/>
        <v>1</v>
      </c>
      <c r="V179" s="10">
        <f t="shared" si="69"/>
        <v>1</v>
      </c>
      <c r="W179" s="10">
        <f t="shared" si="70"/>
        <v>1</v>
      </c>
      <c r="X179" s="10">
        <f t="shared" si="71"/>
        <v>8.5362641509433956E-2</v>
      </c>
      <c r="Y179" s="10">
        <f t="shared" si="72"/>
        <v>1</v>
      </c>
      <c r="Z179" s="10">
        <f t="shared" si="73"/>
        <v>1</v>
      </c>
      <c r="AA179" s="10">
        <f t="shared" si="74"/>
        <v>1</v>
      </c>
      <c r="AB179" s="11"/>
      <c r="AC179" s="10">
        <f t="shared" si="76"/>
        <v>0.78806914628652647</v>
      </c>
      <c r="AD179" s="10">
        <f t="shared" si="77"/>
        <v>0.78808084996442407</v>
      </c>
      <c r="AE179" s="10">
        <f t="shared" si="78"/>
        <v>0.78830856030542107</v>
      </c>
      <c r="AF179" s="10">
        <f t="shared" si="79"/>
        <v>0.79020995301385966</v>
      </c>
      <c r="AG179" s="10">
        <f t="shared" si="80"/>
        <v>8.5362641509433956E-2</v>
      </c>
      <c r="AH179" s="10">
        <f t="shared" si="81"/>
        <v>8.5368003352276914E-2</v>
      </c>
      <c r="AI179" s="10">
        <f t="shared" si="81"/>
        <v>8.5383754572128906E-2</v>
      </c>
      <c r="AJ179" s="10">
        <f t="shared" si="81"/>
        <v>8.803060368924899E-2</v>
      </c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</row>
    <row r="180" spans="1:61" s="7" customFormat="1" x14ac:dyDescent="0.3">
      <c r="A180" s="7" t="s">
        <v>157</v>
      </c>
      <c r="B180" s="11">
        <v>2014.0635621646159</v>
      </c>
      <c r="C180" s="11">
        <v>0</v>
      </c>
      <c r="D180" s="11">
        <v>2804.1195064749668</v>
      </c>
      <c r="E180" s="10">
        <f t="shared" si="88"/>
        <v>145.88031958833602</v>
      </c>
      <c r="F180" s="10">
        <f t="shared" si="89"/>
        <v>2674.5541947625693</v>
      </c>
      <c r="G180" s="10">
        <f t="shared" si="90"/>
        <v>12155.624580713655</v>
      </c>
      <c r="H180" s="10">
        <f t="shared" si="82"/>
        <v>3.4992148661640528E-2</v>
      </c>
      <c r="I180" s="10">
        <f t="shared" si="83"/>
        <v>0.24066594795256832</v>
      </c>
      <c r="J180" s="10">
        <f t="shared" si="84"/>
        <v>13.888208777599905</v>
      </c>
      <c r="K180" s="10">
        <f t="shared" si="85"/>
        <v>13.327567904299693</v>
      </c>
      <c r="L180" s="10">
        <f t="shared" si="86"/>
        <v>0</v>
      </c>
      <c r="M180" s="10">
        <f t="shared" si="87"/>
        <v>0</v>
      </c>
      <c r="N180" s="5">
        <v>98917.67730000001</v>
      </c>
      <c r="O180" s="11">
        <f t="shared" si="75"/>
        <v>104437.97</v>
      </c>
      <c r="P180" s="11">
        <v>176.82400000000001</v>
      </c>
      <c r="Q180" s="11">
        <v>123600</v>
      </c>
      <c r="R180" s="7">
        <v>81.861999999999995</v>
      </c>
      <c r="S180" s="11"/>
      <c r="T180" s="10">
        <f t="shared" si="67"/>
        <v>1.1834776183412987</v>
      </c>
      <c r="U180" s="10">
        <f t="shared" si="68"/>
        <v>3</v>
      </c>
      <c r="V180" s="10">
        <f t="shared" si="69"/>
        <v>3</v>
      </c>
      <c r="W180" s="10">
        <f t="shared" si="70"/>
        <v>3</v>
      </c>
      <c r="X180" s="10">
        <f t="shared" si="71"/>
        <v>0.46295751707912947</v>
      </c>
      <c r="Y180" s="10">
        <f t="shared" si="72"/>
        <v>1</v>
      </c>
      <c r="Z180" s="10">
        <f t="shared" si="73"/>
        <v>1</v>
      </c>
      <c r="AA180" s="10">
        <f t="shared" si="74"/>
        <v>1</v>
      </c>
      <c r="AB180" s="11"/>
      <c r="AC180" s="10">
        <f t="shared" si="76"/>
        <v>1.1834776183412987</v>
      </c>
      <c r="AD180" s="10">
        <f t="shared" si="77"/>
        <v>1.1848744313929918</v>
      </c>
      <c r="AE180" s="10">
        <f t="shared" si="78"/>
        <v>1.2090866396078224</v>
      </c>
      <c r="AF180" s="10">
        <f t="shared" si="79"/>
        <v>1.2998684729386607</v>
      </c>
      <c r="AG180" s="10">
        <f t="shared" si="80"/>
        <v>0.46295751707912947</v>
      </c>
      <c r="AH180" s="10">
        <f t="shared" si="81"/>
        <v>0.46315540960877277</v>
      </c>
      <c r="AI180" s="10">
        <f t="shared" si="81"/>
        <v>0.46431856505877345</v>
      </c>
      <c r="AJ180" s="10">
        <f t="shared" si="81"/>
        <v>0.54150007226168329</v>
      </c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</row>
    <row r="181" spans="1:61" s="7" customFormat="1" x14ac:dyDescent="0.3">
      <c r="A181" s="7" t="s">
        <v>158</v>
      </c>
      <c r="B181" s="11">
        <v>0</v>
      </c>
      <c r="C181" s="11">
        <v>0</v>
      </c>
      <c r="D181" s="11">
        <v>0</v>
      </c>
      <c r="E181" s="10">
        <f t="shared" si="88"/>
        <v>0</v>
      </c>
      <c r="F181" s="10">
        <f t="shared" si="89"/>
        <v>0</v>
      </c>
      <c r="G181" s="10">
        <f t="shared" si="90"/>
        <v>0</v>
      </c>
      <c r="H181" s="10">
        <f t="shared" si="82"/>
        <v>0</v>
      </c>
      <c r="I181" s="10">
        <f t="shared" si="83"/>
        <v>0</v>
      </c>
      <c r="J181" s="10">
        <f t="shared" si="84"/>
        <v>0</v>
      </c>
      <c r="K181" s="10">
        <f t="shared" si="85"/>
        <v>0</v>
      </c>
      <c r="L181" s="10">
        <f t="shared" si="86"/>
        <v>0</v>
      </c>
      <c r="M181" s="10">
        <f t="shared" si="87"/>
        <v>0</v>
      </c>
      <c r="N181" s="5">
        <v>346404.23999999993</v>
      </c>
      <c r="O181" s="11">
        <f t="shared" si="75"/>
        <v>365735.99999999988</v>
      </c>
      <c r="P181" s="11">
        <v>0.42000000000000004</v>
      </c>
      <c r="Q181" s="11">
        <v>234520</v>
      </c>
      <c r="R181" s="7">
        <v>3.5649999999999999</v>
      </c>
      <c r="S181" s="11"/>
      <c r="T181" s="10">
        <f t="shared" si="67"/>
        <v>0.64122755211409344</v>
      </c>
      <c r="U181" s="10">
        <f t="shared" si="68"/>
        <v>1</v>
      </c>
      <c r="V181" s="10">
        <f t="shared" si="69"/>
        <v>1</v>
      </c>
      <c r="W181" s="10">
        <f t="shared" si="70"/>
        <v>1</v>
      </c>
      <c r="X181" s="10">
        <f t="shared" si="71"/>
        <v>8.4880952380952372</v>
      </c>
      <c r="Y181" s="10">
        <f t="shared" si="72"/>
        <v>3</v>
      </c>
      <c r="Z181" s="10">
        <f t="shared" si="73"/>
        <v>3</v>
      </c>
      <c r="AA181" s="10">
        <f t="shared" si="74"/>
        <v>3</v>
      </c>
      <c r="AB181" s="11"/>
      <c r="AC181" s="10">
        <f t="shared" si="76"/>
        <v>0.64122755211409344</v>
      </c>
      <c r="AD181" s="10">
        <f t="shared" si="77"/>
        <v>0.64122755211409344</v>
      </c>
      <c r="AE181" s="10">
        <f t="shared" si="78"/>
        <v>0.64122755211409344</v>
      </c>
      <c r="AF181" s="10">
        <f t="shared" si="79"/>
        <v>0.64122755211409344</v>
      </c>
      <c r="AG181" s="10">
        <f t="shared" si="80"/>
        <v>8.4880952380952372</v>
      </c>
      <c r="AH181" s="10">
        <f t="shared" si="81"/>
        <v>8.4880952380952372</v>
      </c>
      <c r="AI181" s="10">
        <f t="shared" si="81"/>
        <v>8.4880952380952372</v>
      </c>
      <c r="AJ181" s="10">
        <f t="shared" si="81"/>
        <v>8.4880952380952372</v>
      </c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</row>
    <row r="182" spans="1:61" s="7" customFormat="1" x14ac:dyDescent="0.3">
      <c r="A182" s="7" t="s">
        <v>159</v>
      </c>
      <c r="B182" s="11">
        <v>0</v>
      </c>
      <c r="C182" s="11">
        <v>0</v>
      </c>
      <c r="D182" s="11">
        <v>0</v>
      </c>
      <c r="E182" s="10">
        <f t="shared" si="88"/>
        <v>0</v>
      </c>
      <c r="F182" s="10">
        <f t="shared" si="89"/>
        <v>0</v>
      </c>
      <c r="G182" s="10">
        <f t="shared" si="90"/>
        <v>0</v>
      </c>
      <c r="H182" s="10">
        <f t="shared" si="82"/>
        <v>0</v>
      </c>
      <c r="I182" s="10">
        <f t="shared" si="83"/>
        <v>0</v>
      </c>
      <c r="J182" s="10">
        <f t="shared" si="84"/>
        <v>0</v>
      </c>
      <c r="K182" s="10">
        <f t="shared" si="85"/>
        <v>0</v>
      </c>
      <c r="L182" s="10">
        <f t="shared" si="86"/>
        <v>0</v>
      </c>
      <c r="M182" s="10">
        <f t="shared" si="87"/>
        <v>0</v>
      </c>
      <c r="N182" s="5">
        <v>189637.69110000003</v>
      </c>
      <c r="O182" s="11">
        <f t="shared" si="75"/>
        <v>200220.79</v>
      </c>
      <c r="P182" s="11">
        <v>20.96</v>
      </c>
      <c r="Q182" s="11">
        <v>238360</v>
      </c>
      <c r="R182" s="7">
        <v>1.5720000000000001</v>
      </c>
      <c r="S182" s="11"/>
      <c r="T182" s="10">
        <f t="shared" si="67"/>
        <v>1.1904857632416692</v>
      </c>
      <c r="U182" s="10">
        <f t="shared" si="68"/>
        <v>3</v>
      </c>
      <c r="V182" s="10">
        <f t="shared" si="69"/>
        <v>3</v>
      </c>
      <c r="W182" s="10">
        <f t="shared" si="70"/>
        <v>3</v>
      </c>
      <c r="X182" s="10">
        <f t="shared" si="71"/>
        <v>7.4999999999999997E-2</v>
      </c>
      <c r="Y182" s="10">
        <f t="shared" si="72"/>
        <v>1</v>
      </c>
      <c r="Z182" s="10">
        <f t="shared" si="73"/>
        <v>1</v>
      </c>
      <c r="AA182" s="10">
        <f t="shared" si="74"/>
        <v>1</v>
      </c>
      <c r="AB182" s="11"/>
      <c r="AC182" s="10">
        <f t="shared" si="76"/>
        <v>1.1904857632416692</v>
      </c>
      <c r="AD182" s="10">
        <f t="shared" si="77"/>
        <v>1.1904857632416692</v>
      </c>
      <c r="AE182" s="10">
        <f t="shared" si="78"/>
        <v>1.1904857632416692</v>
      </c>
      <c r="AF182" s="10">
        <f t="shared" si="79"/>
        <v>1.1904857632416692</v>
      </c>
      <c r="AG182" s="10">
        <f t="shared" si="80"/>
        <v>7.4999999999999997E-2</v>
      </c>
      <c r="AH182" s="10">
        <f t="shared" si="81"/>
        <v>7.4999999999999997E-2</v>
      </c>
      <c r="AI182" s="10">
        <f t="shared" si="81"/>
        <v>7.4999999999999997E-2</v>
      </c>
      <c r="AJ182" s="10">
        <f t="shared" si="81"/>
        <v>7.4999999999999997E-2</v>
      </c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</row>
    <row r="183" spans="1:61" s="7" customFormat="1" x14ac:dyDescent="0.3">
      <c r="A183" s="7" t="s">
        <v>160</v>
      </c>
      <c r="B183" s="11">
        <v>24.177338228050893</v>
      </c>
      <c r="C183" s="11">
        <v>0</v>
      </c>
      <c r="D183" s="11">
        <v>0</v>
      </c>
      <c r="E183" s="10">
        <f t="shared" si="88"/>
        <v>0.21254344376177814</v>
      </c>
      <c r="F183" s="10">
        <f t="shared" si="89"/>
        <v>4.3478537692124393</v>
      </c>
      <c r="G183" s="10">
        <f t="shared" si="90"/>
        <v>38.877901309078169</v>
      </c>
      <c r="H183" s="10">
        <f t="shared" si="82"/>
        <v>9.4582583281082135E-5</v>
      </c>
      <c r="I183" s="10">
        <f t="shared" si="83"/>
        <v>3.7243314829506197E-4</v>
      </c>
      <c r="J183" s="10">
        <f t="shared" si="84"/>
        <v>4.706269140188081E-2</v>
      </c>
      <c r="K183" s="10">
        <f t="shared" si="85"/>
        <v>4.3519208810491608E-2</v>
      </c>
      <c r="L183" s="10">
        <f t="shared" si="86"/>
        <v>0</v>
      </c>
      <c r="M183" s="10">
        <f t="shared" si="87"/>
        <v>0</v>
      </c>
      <c r="N183" s="5">
        <v>138231.65460000001</v>
      </c>
      <c r="O183" s="11">
        <f t="shared" si="75"/>
        <v>145945.94</v>
      </c>
      <c r="P183" s="11">
        <v>4</v>
      </c>
      <c r="Q183" s="11">
        <v>162000</v>
      </c>
      <c r="R183" s="7">
        <v>3.7713800000000002</v>
      </c>
      <c r="S183" s="11"/>
      <c r="T183" s="10">
        <f t="shared" si="67"/>
        <v>1.1100000452222241</v>
      </c>
      <c r="U183" s="10">
        <f t="shared" si="68"/>
        <v>3</v>
      </c>
      <c r="V183" s="10">
        <f t="shared" si="69"/>
        <v>3</v>
      </c>
      <c r="W183" s="10">
        <f t="shared" si="70"/>
        <v>3</v>
      </c>
      <c r="X183" s="10">
        <f t="shared" si="71"/>
        <v>0.94284500000000004</v>
      </c>
      <c r="Y183" s="10">
        <f t="shared" si="72"/>
        <v>1</v>
      </c>
      <c r="Z183" s="10">
        <f t="shared" si="73"/>
        <v>1</v>
      </c>
      <c r="AA183" s="10">
        <f t="shared" si="74"/>
        <v>1</v>
      </c>
      <c r="AB183" s="11"/>
      <c r="AC183" s="10">
        <f t="shared" si="76"/>
        <v>1.1100000452222241</v>
      </c>
      <c r="AD183" s="10">
        <f t="shared" si="77"/>
        <v>1.1100015015384721</v>
      </c>
      <c r="AE183" s="10">
        <f t="shared" si="78"/>
        <v>1.1100298360733378</v>
      </c>
      <c r="AF183" s="10">
        <f t="shared" si="79"/>
        <v>1.1102664308531576</v>
      </c>
      <c r="AG183" s="10">
        <f t="shared" si="80"/>
        <v>0.94284500000000004</v>
      </c>
      <c r="AH183" s="10">
        <f t="shared" si="81"/>
        <v>0.94286864564582029</v>
      </c>
      <c r="AI183" s="10">
        <f t="shared" si="81"/>
        <v>0.94293810828707381</v>
      </c>
      <c r="AJ183" s="10">
        <f t="shared" si="81"/>
        <v>0.9546106728504703</v>
      </c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</row>
    <row r="185" spans="1:61" x14ac:dyDescent="0.3">
      <c r="A185" s="30"/>
      <c r="E185" s="32"/>
      <c r="F185" s="32"/>
      <c r="G185" s="32"/>
      <c r="H185" s="32"/>
      <c r="I185" s="32"/>
      <c r="J185" s="31"/>
      <c r="K185" s="31"/>
      <c r="L185" s="31"/>
      <c r="M185" s="32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2"/>
      <c r="AD185" s="32"/>
      <c r="AE185" s="32"/>
      <c r="AF185" s="32"/>
      <c r="AG185" s="32"/>
      <c r="AH185" s="32"/>
      <c r="AI185" s="32"/>
      <c r="AJ185" s="32"/>
    </row>
    <row r="186" spans="1:61" x14ac:dyDescent="0.3">
      <c r="AC186" s="32"/>
      <c r="AD186" s="32"/>
      <c r="AE186" s="32"/>
      <c r="AF186" s="32"/>
      <c r="AG186" s="32"/>
      <c r="AH186" s="32"/>
      <c r="AI186" s="32"/>
      <c r="AJ186" s="32"/>
    </row>
    <row r="187" spans="1:61" x14ac:dyDescent="0.3">
      <c r="B187" s="11"/>
      <c r="C187" s="11"/>
      <c r="D187" s="7"/>
      <c r="AC187" s="32"/>
      <c r="AD187" s="32"/>
      <c r="AE187" s="32"/>
      <c r="AF187" s="32"/>
      <c r="AG187" s="32"/>
      <c r="AH187" s="32"/>
      <c r="AI187" s="32"/>
      <c r="AJ187" s="32"/>
    </row>
    <row r="188" spans="1:61" x14ac:dyDescent="0.3">
      <c r="B188" s="11"/>
      <c r="C188" s="11"/>
      <c r="D188" s="7"/>
      <c r="AC188" s="32"/>
      <c r="AD188" s="32"/>
      <c r="AE188" s="32"/>
      <c r="AF188" s="32"/>
      <c r="AG188" s="32"/>
      <c r="AH188" s="32"/>
      <c r="AI188" s="32"/>
      <c r="AJ188" s="32"/>
    </row>
    <row r="189" spans="1:61" x14ac:dyDescent="0.3">
      <c r="B189" s="11"/>
      <c r="C189" s="11"/>
      <c r="D189" s="7"/>
    </row>
    <row r="190" spans="1:61" x14ac:dyDescent="0.3">
      <c r="B190" s="11"/>
      <c r="C190" s="11"/>
      <c r="D190" s="7"/>
    </row>
    <row r="191" spans="1:61" x14ac:dyDescent="0.3">
      <c r="B191" s="11"/>
      <c r="C191" s="11"/>
      <c r="D191" s="7"/>
    </row>
    <row r="192" spans="1:61" x14ac:dyDescent="0.3">
      <c r="B192" s="11"/>
      <c r="C192" s="11"/>
      <c r="D192" s="7"/>
    </row>
    <row r="193" spans="2:4" x14ac:dyDescent="0.3">
      <c r="B193" s="11"/>
      <c r="C193" s="11"/>
      <c r="D193" s="7"/>
    </row>
    <row r="194" spans="2:4" x14ac:dyDescent="0.3">
      <c r="B194" s="11"/>
      <c r="C194" s="11"/>
      <c r="D194" s="7"/>
    </row>
    <row r="195" spans="2:4" x14ac:dyDescent="0.3">
      <c r="B195" s="11"/>
      <c r="C195" s="11"/>
      <c r="D195" s="7"/>
    </row>
    <row r="196" spans="2:4" x14ac:dyDescent="0.3">
      <c r="B196" s="11"/>
      <c r="C196" s="11"/>
      <c r="D196" s="7"/>
    </row>
    <row r="197" spans="2:4" x14ac:dyDescent="0.3">
      <c r="B197" s="11"/>
      <c r="C197" s="11"/>
      <c r="D197" s="7"/>
    </row>
    <row r="198" spans="2:4" x14ac:dyDescent="0.3">
      <c r="B198" s="11"/>
      <c r="C198" s="11"/>
      <c r="D198" s="7"/>
    </row>
    <row r="199" spans="2:4" x14ac:dyDescent="0.3">
      <c r="B199" s="11"/>
      <c r="C199" s="11"/>
      <c r="D199" s="7"/>
    </row>
    <row r="200" spans="2:4" x14ac:dyDescent="0.3">
      <c r="B200" s="11"/>
      <c r="C200" s="11"/>
      <c r="D200" s="7"/>
    </row>
    <row r="201" spans="2:4" x14ac:dyDescent="0.3">
      <c r="B201" s="11"/>
      <c r="C201" s="11"/>
      <c r="D201" s="7"/>
    </row>
    <row r="202" spans="2:4" x14ac:dyDescent="0.3">
      <c r="B202" s="11"/>
      <c r="C202" s="11"/>
      <c r="D202" s="7"/>
    </row>
    <row r="203" spans="2:4" x14ac:dyDescent="0.3">
      <c r="B203" s="11"/>
      <c r="C203" s="11"/>
      <c r="D203" s="7"/>
    </row>
    <row r="204" spans="2:4" x14ac:dyDescent="0.3">
      <c r="B204" s="11"/>
      <c r="C204" s="11"/>
      <c r="D204" s="7"/>
    </row>
    <row r="205" spans="2:4" x14ac:dyDescent="0.3">
      <c r="B205" s="11"/>
      <c r="C205" s="11"/>
      <c r="D205" s="7"/>
    </row>
    <row r="206" spans="2:4" x14ac:dyDescent="0.3">
      <c r="B206" s="11"/>
      <c r="C206" s="11"/>
      <c r="D206" s="7"/>
    </row>
    <row r="207" spans="2:4" x14ac:dyDescent="0.3">
      <c r="B207" s="11"/>
      <c r="C207" s="11"/>
      <c r="D207" s="7"/>
    </row>
    <row r="208" spans="2:4" x14ac:dyDescent="0.3">
      <c r="B208" s="11"/>
      <c r="C208" s="11"/>
      <c r="D208" s="7"/>
    </row>
    <row r="209" spans="2:5" x14ac:dyDescent="0.3">
      <c r="B209" s="11"/>
      <c r="C209" s="11"/>
      <c r="D209" s="7"/>
    </row>
    <row r="210" spans="2:5" x14ac:dyDescent="0.3">
      <c r="B210" s="11"/>
      <c r="C210" s="11"/>
      <c r="D210" s="7"/>
    </row>
    <row r="211" spans="2:5" x14ac:dyDescent="0.3">
      <c r="B211" s="11"/>
      <c r="C211" s="11"/>
      <c r="D211" s="7"/>
    </row>
    <row r="212" spans="2:5" x14ac:dyDescent="0.3">
      <c r="B212" s="11"/>
      <c r="C212" s="11"/>
      <c r="D212" s="7"/>
    </row>
    <row r="213" spans="2:5" x14ac:dyDescent="0.3">
      <c r="B213" s="11"/>
      <c r="C213" s="11"/>
      <c r="D213" s="7"/>
    </row>
    <row r="214" spans="2:5" x14ac:dyDescent="0.3">
      <c r="B214" s="11"/>
      <c r="C214" s="11"/>
      <c r="D214" s="7"/>
    </row>
    <row r="215" spans="2:5" x14ac:dyDescent="0.3">
      <c r="B215" s="11"/>
      <c r="C215" s="11"/>
      <c r="D215" s="7"/>
    </row>
    <row r="216" spans="2:5" x14ac:dyDescent="0.3">
      <c r="B216" s="11"/>
      <c r="C216" s="11"/>
      <c r="D216" s="7"/>
    </row>
    <row r="217" spans="2:5" x14ac:dyDescent="0.3">
      <c r="B217" s="11"/>
      <c r="C217" s="11"/>
      <c r="D217" s="7"/>
    </row>
    <row r="218" spans="2:5" x14ac:dyDescent="0.3">
      <c r="B218" s="11"/>
      <c r="C218" s="11"/>
      <c r="D218" s="7"/>
    </row>
    <row r="219" spans="2:5" x14ac:dyDescent="0.3">
      <c r="B219" s="11"/>
      <c r="C219" s="11"/>
      <c r="D219" s="7"/>
    </row>
    <row r="220" spans="2:5" x14ac:dyDescent="0.3">
      <c r="B220" s="11"/>
      <c r="C220" s="11"/>
      <c r="D220" s="7"/>
    </row>
    <row r="221" spans="2:5" x14ac:dyDescent="0.3">
      <c r="B221" s="11"/>
      <c r="C221" s="11"/>
      <c r="D221" s="7"/>
    </row>
    <row r="222" spans="2:5" x14ac:dyDescent="0.3">
      <c r="B222" s="11"/>
      <c r="C222" s="11"/>
      <c r="D222" s="7"/>
    </row>
    <row r="223" spans="2:5" x14ac:dyDescent="0.3">
      <c r="B223" s="11"/>
      <c r="C223" s="11"/>
      <c r="D223" s="7"/>
    </row>
    <row r="224" spans="2:5" x14ac:dyDescent="0.3">
      <c r="B224" s="11"/>
      <c r="C224" s="11"/>
      <c r="D224" s="7"/>
    </row>
    <row r="225" spans="2:4" x14ac:dyDescent="0.3">
      <c r="B225" s="11"/>
      <c r="C225" s="11"/>
      <c r="D225" s="7"/>
    </row>
    <row r="226" spans="2:4" x14ac:dyDescent="0.3">
      <c r="B226" s="11"/>
      <c r="C226" s="11"/>
      <c r="D226" s="7"/>
    </row>
    <row r="227" spans="2:4" x14ac:dyDescent="0.3">
      <c r="B227" s="11"/>
      <c r="C227" s="11"/>
      <c r="D227" s="7"/>
    </row>
    <row r="228" spans="2:4" x14ac:dyDescent="0.3">
      <c r="B228" s="11"/>
      <c r="C228" s="11"/>
      <c r="D228" s="7"/>
    </row>
    <row r="229" spans="2:4" x14ac:dyDescent="0.3">
      <c r="B229" s="11"/>
      <c r="C229" s="11"/>
      <c r="D229" s="7"/>
    </row>
    <row r="230" spans="2:4" x14ac:dyDescent="0.3">
      <c r="B230" s="11"/>
      <c r="C230" s="11"/>
      <c r="D230" s="7"/>
    </row>
    <row r="231" spans="2:4" x14ac:dyDescent="0.3">
      <c r="B231" s="11"/>
      <c r="C231" s="11"/>
      <c r="D231" s="7"/>
    </row>
    <row r="232" spans="2:4" x14ac:dyDescent="0.3">
      <c r="B232" s="11"/>
      <c r="C232" s="11"/>
      <c r="D232" s="7"/>
    </row>
    <row r="233" spans="2:4" x14ac:dyDescent="0.3">
      <c r="B233" s="11"/>
      <c r="C233" s="11"/>
      <c r="D233" s="7"/>
    </row>
    <row r="234" spans="2:4" x14ac:dyDescent="0.3">
      <c r="B234" s="11"/>
      <c r="C234" s="11"/>
      <c r="D234" s="7"/>
    </row>
    <row r="235" spans="2:4" x14ac:dyDescent="0.3">
      <c r="B235" s="11"/>
      <c r="C235" s="11"/>
      <c r="D235" s="7"/>
    </row>
    <row r="236" spans="2:4" x14ac:dyDescent="0.3">
      <c r="B236" s="11"/>
      <c r="C236" s="11"/>
      <c r="D236" s="7"/>
    </row>
    <row r="237" spans="2:4" x14ac:dyDescent="0.3">
      <c r="B237" s="11"/>
      <c r="C237" s="11"/>
      <c r="D237" s="7"/>
    </row>
    <row r="238" spans="2:4" x14ac:dyDescent="0.3">
      <c r="B238" s="11"/>
      <c r="C238" s="11"/>
      <c r="D238" s="7"/>
    </row>
    <row r="239" spans="2:4" x14ac:dyDescent="0.3">
      <c r="B239" s="11"/>
      <c r="C239" s="11"/>
      <c r="D239" s="7"/>
    </row>
    <row r="240" spans="2:4" x14ac:dyDescent="0.3">
      <c r="B240" s="11"/>
      <c r="C240" s="11"/>
      <c r="D240" s="7"/>
    </row>
    <row r="241" spans="2:4" x14ac:dyDescent="0.3">
      <c r="B241" s="11"/>
      <c r="C241" s="11"/>
      <c r="D241" s="7"/>
    </row>
    <row r="242" spans="2:4" x14ac:dyDescent="0.3">
      <c r="B242" s="11"/>
      <c r="C242" s="11"/>
      <c r="D242" s="7"/>
    </row>
    <row r="243" spans="2:4" x14ac:dyDescent="0.3">
      <c r="B243" s="11"/>
      <c r="C243" s="11"/>
      <c r="D243" s="7"/>
    </row>
    <row r="244" spans="2:4" x14ac:dyDescent="0.3">
      <c r="B244" s="11"/>
      <c r="C244" s="11"/>
      <c r="D244" s="7"/>
    </row>
    <row r="245" spans="2:4" x14ac:dyDescent="0.3">
      <c r="B245" s="11"/>
      <c r="C245" s="11"/>
      <c r="D245" s="7"/>
    </row>
    <row r="246" spans="2:4" x14ac:dyDescent="0.3">
      <c r="B246" s="11"/>
      <c r="C246" s="11"/>
      <c r="D246" s="7"/>
    </row>
    <row r="247" spans="2:4" x14ac:dyDescent="0.3">
      <c r="B247" s="11"/>
      <c r="C247" s="11"/>
      <c r="D247" s="7"/>
    </row>
    <row r="248" spans="2:4" x14ac:dyDescent="0.3">
      <c r="B248" s="11"/>
      <c r="C248" s="11"/>
      <c r="D248" s="7"/>
    </row>
    <row r="249" spans="2:4" x14ac:dyDescent="0.3">
      <c r="B249" s="11"/>
      <c r="C249" s="11"/>
      <c r="D249" s="7"/>
    </row>
    <row r="250" spans="2:4" x14ac:dyDescent="0.3">
      <c r="B250" s="11"/>
      <c r="C250" s="11"/>
      <c r="D250" s="7"/>
    </row>
    <row r="251" spans="2:4" x14ac:dyDescent="0.3">
      <c r="B251" s="11"/>
      <c r="C251" s="11"/>
      <c r="D251" s="7"/>
    </row>
    <row r="252" spans="2:4" x14ac:dyDescent="0.3">
      <c r="B252" s="11"/>
      <c r="C252" s="11"/>
      <c r="D252" s="7"/>
    </row>
    <row r="253" spans="2:4" x14ac:dyDescent="0.3">
      <c r="B253" s="11"/>
      <c r="C253" s="11"/>
      <c r="D253" s="7"/>
    </row>
    <row r="254" spans="2:4" x14ac:dyDescent="0.3">
      <c r="B254" s="11"/>
      <c r="C254" s="11"/>
      <c r="D254" s="7"/>
    </row>
    <row r="255" spans="2:4" x14ac:dyDescent="0.3">
      <c r="B255" s="11"/>
      <c r="C255" s="11"/>
      <c r="D255" s="7"/>
    </row>
    <row r="256" spans="2:4" x14ac:dyDescent="0.3">
      <c r="B256" s="11"/>
      <c r="C256" s="11"/>
      <c r="D256" s="7"/>
    </row>
    <row r="257" spans="2:5" x14ac:dyDescent="0.3">
      <c r="B257" s="11"/>
      <c r="C257" s="11"/>
      <c r="D257" s="7"/>
    </row>
    <row r="258" spans="2:5" x14ac:dyDescent="0.3">
      <c r="B258" s="11"/>
      <c r="C258" s="11"/>
      <c r="D258" s="7"/>
    </row>
    <row r="259" spans="2:5" x14ac:dyDescent="0.3">
      <c r="B259" s="11"/>
      <c r="C259" s="11"/>
      <c r="D259" s="7"/>
    </row>
    <row r="260" spans="2:5" x14ac:dyDescent="0.3">
      <c r="B260" s="11"/>
      <c r="C260" s="11"/>
      <c r="D260" s="7"/>
    </row>
    <row r="261" spans="2:5" x14ac:dyDescent="0.3">
      <c r="B261" s="11"/>
      <c r="C261" s="11"/>
      <c r="D261" s="7"/>
    </row>
    <row r="262" spans="2:5" x14ac:dyDescent="0.3">
      <c r="B262" s="11"/>
      <c r="C262" s="11"/>
      <c r="D262" s="7"/>
    </row>
    <row r="263" spans="2:5" x14ac:dyDescent="0.3">
      <c r="B263" s="11"/>
      <c r="C263" s="11"/>
      <c r="D263" s="7"/>
    </row>
    <row r="264" spans="2:5" x14ac:dyDescent="0.3">
      <c r="B264" s="11"/>
      <c r="C264" s="11"/>
      <c r="D264" s="7"/>
    </row>
    <row r="265" spans="2:5" x14ac:dyDescent="0.3">
      <c r="B265" s="11"/>
      <c r="C265" s="11"/>
      <c r="D265" s="7"/>
    </row>
    <row r="266" spans="2:5" x14ac:dyDescent="0.3">
      <c r="B266" s="11"/>
      <c r="C266" s="11"/>
      <c r="D266" s="7"/>
    </row>
    <row r="267" spans="2:5" x14ac:dyDescent="0.3">
      <c r="B267" s="11"/>
      <c r="C267" s="11"/>
      <c r="D267" s="7"/>
    </row>
    <row r="268" spans="2:5" x14ac:dyDescent="0.3">
      <c r="B268" s="11"/>
      <c r="C268" s="11"/>
      <c r="D268" s="7"/>
    </row>
    <row r="269" spans="2:5" x14ac:dyDescent="0.3">
      <c r="B269" s="11"/>
      <c r="C269" s="11"/>
      <c r="D269" s="7"/>
    </row>
    <row r="270" spans="2:5" x14ac:dyDescent="0.3">
      <c r="B270" s="11"/>
      <c r="C270" s="11"/>
      <c r="D270" s="7"/>
    </row>
    <row r="271" spans="2:5" x14ac:dyDescent="0.3">
      <c r="B271" s="11"/>
      <c r="C271" s="11"/>
      <c r="D271" s="7"/>
    </row>
    <row r="272" spans="2:5" x14ac:dyDescent="0.3">
      <c r="B272" s="11"/>
      <c r="C272" s="11"/>
      <c r="D272" s="7"/>
    </row>
    <row r="273" spans="2:4" x14ac:dyDescent="0.3">
      <c r="B273" s="11"/>
      <c r="C273" s="11"/>
      <c r="D273" s="7"/>
    </row>
    <row r="274" spans="2:4" x14ac:dyDescent="0.3">
      <c r="B274" s="11"/>
      <c r="C274" s="11"/>
      <c r="D274" s="7"/>
    </row>
    <row r="275" spans="2:4" x14ac:dyDescent="0.3">
      <c r="B275" s="11"/>
      <c r="C275" s="11"/>
      <c r="D275" s="7"/>
    </row>
    <row r="276" spans="2:4" x14ac:dyDescent="0.3">
      <c r="B276" s="11"/>
      <c r="C276" s="11"/>
      <c r="D276" s="7"/>
    </row>
    <row r="277" spans="2:4" x14ac:dyDescent="0.3">
      <c r="B277" s="11"/>
      <c r="C277" s="11"/>
      <c r="D277" s="7"/>
    </row>
    <row r="278" spans="2:4" x14ac:dyDescent="0.3">
      <c r="B278" s="11"/>
      <c r="C278" s="11"/>
      <c r="D278" s="7"/>
    </row>
    <row r="279" spans="2:4" x14ac:dyDescent="0.3">
      <c r="B279" s="11"/>
      <c r="C279" s="11"/>
      <c r="D279" s="7"/>
    </row>
    <row r="280" spans="2:4" x14ac:dyDescent="0.3">
      <c r="B280" s="11"/>
      <c r="C280" s="11"/>
      <c r="D280" s="7"/>
    </row>
    <row r="281" spans="2:4" x14ac:dyDescent="0.3">
      <c r="B281" s="11"/>
      <c r="C281" s="11"/>
      <c r="D281" s="7"/>
    </row>
    <row r="282" spans="2:4" x14ac:dyDescent="0.3">
      <c r="B282" s="11"/>
      <c r="C282" s="11"/>
      <c r="D282" s="7"/>
    </row>
    <row r="283" spans="2:4" x14ac:dyDescent="0.3">
      <c r="B283" s="11"/>
      <c r="C283" s="11"/>
      <c r="D283" s="7"/>
    </row>
    <row r="284" spans="2:4" x14ac:dyDescent="0.3">
      <c r="B284" s="11"/>
      <c r="C284" s="11"/>
      <c r="D284" s="7"/>
    </row>
    <row r="285" spans="2:4" x14ac:dyDescent="0.3">
      <c r="B285" s="11"/>
      <c r="C285" s="11"/>
      <c r="D285" s="7"/>
    </row>
    <row r="286" spans="2:4" x14ac:dyDescent="0.3">
      <c r="B286" s="11"/>
      <c r="C286" s="11"/>
      <c r="D286" s="7"/>
    </row>
    <row r="287" spans="2:4" x14ac:dyDescent="0.3">
      <c r="B287" s="11"/>
      <c r="C287" s="11"/>
      <c r="D287" s="7"/>
    </row>
    <row r="288" spans="2:4" x14ac:dyDescent="0.3">
      <c r="B288" s="11"/>
      <c r="C288" s="11"/>
      <c r="D288" s="7"/>
    </row>
    <row r="289" spans="2:4" x14ac:dyDescent="0.3">
      <c r="B289" s="11"/>
      <c r="C289" s="11"/>
      <c r="D289" s="7"/>
    </row>
    <row r="290" spans="2:4" x14ac:dyDescent="0.3">
      <c r="B290" s="11"/>
      <c r="C290" s="11"/>
      <c r="D290" s="7"/>
    </row>
    <row r="291" spans="2:4" x14ac:dyDescent="0.3">
      <c r="B291" s="11"/>
      <c r="C291" s="11"/>
      <c r="D291" s="7"/>
    </row>
    <row r="292" spans="2:4" x14ac:dyDescent="0.3">
      <c r="B292" s="11"/>
      <c r="C292" s="11"/>
      <c r="D292" s="7"/>
    </row>
    <row r="293" spans="2:4" x14ac:dyDescent="0.3">
      <c r="B293" s="11"/>
      <c r="C293" s="11"/>
      <c r="D293" s="7"/>
    </row>
    <row r="294" spans="2:4" x14ac:dyDescent="0.3">
      <c r="B294" s="11"/>
      <c r="C294" s="11"/>
      <c r="D294" s="7"/>
    </row>
    <row r="295" spans="2:4" x14ac:dyDescent="0.3">
      <c r="B295" s="11"/>
      <c r="C295" s="11"/>
      <c r="D295" s="7"/>
    </row>
    <row r="296" spans="2:4" x14ac:dyDescent="0.3">
      <c r="B296" s="11"/>
      <c r="C296" s="11"/>
      <c r="D296" s="7"/>
    </row>
    <row r="297" spans="2:4" x14ac:dyDescent="0.3">
      <c r="B297" s="11"/>
      <c r="C297" s="11"/>
      <c r="D297" s="7"/>
    </row>
    <row r="298" spans="2:4" x14ac:dyDescent="0.3">
      <c r="B298" s="11"/>
      <c r="C298" s="11"/>
      <c r="D298" s="7"/>
    </row>
    <row r="299" spans="2:4" x14ac:dyDescent="0.3">
      <c r="B299" s="11"/>
      <c r="C299" s="11"/>
      <c r="D299" s="7"/>
    </row>
    <row r="300" spans="2:4" x14ac:dyDescent="0.3">
      <c r="B300" s="11"/>
      <c r="C300" s="11"/>
      <c r="D300" s="7"/>
    </row>
    <row r="301" spans="2:4" x14ac:dyDescent="0.3">
      <c r="B301" s="11"/>
      <c r="C301" s="11"/>
      <c r="D301" s="7"/>
    </row>
    <row r="302" spans="2:4" x14ac:dyDescent="0.3">
      <c r="B302" s="11"/>
      <c r="C302" s="11"/>
      <c r="D302" s="7"/>
    </row>
    <row r="303" spans="2:4" x14ac:dyDescent="0.3">
      <c r="B303" s="11"/>
      <c r="C303" s="11"/>
      <c r="D303" s="7"/>
    </row>
    <row r="304" spans="2:4" x14ac:dyDescent="0.3">
      <c r="B304" s="11"/>
      <c r="C304" s="11"/>
      <c r="D304" s="7"/>
    </row>
    <row r="305" spans="2:4" x14ac:dyDescent="0.3">
      <c r="B305" s="11"/>
      <c r="C305" s="11"/>
      <c r="D305" s="7"/>
    </row>
    <row r="306" spans="2:4" x14ac:dyDescent="0.3">
      <c r="B306" s="11"/>
      <c r="C306" s="11"/>
      <c r="D306" s="7"/>
    </row>
    <row r="307" spans="2:4" x14ac:dyDescent="0.3">
      <c r="B307" s="11"/>
      <c r="C307" s="11"/>
      <c r="D307" s="7"/>
    </row>
    <row r="308" spans="2:4" x14ac:dyDescent="0.3">
      <c r="B308" s="11"/>
      <c r="C308" s="11"/>
      <c r="D308" s="7"/>
    </row>
    <row r="309" spans="2:4" x14ac:dyDescent="0.3">
      <c r="B309" s="11"/>
      <c r="C309" s="11"/>
      <c r="D309" s="7"/>
    </row>
    <row r="310" spans="2:4" x14ac:dyDescent="0.3">
      <c r="B310" s="11"/>
      <c r="C310" s="11"/>
      <c r="D310" s="7"/>
    </row>
    <row r="311" spans="2:4" x14ac:dyDescent="0.3">
      <c r="B311" s="11"/>
      <c r="C311" s="11"/>
      <c r="D311" s="7"/>
    </row>
    <row r="312" spans="2:4" x14ac:dyDescent="0.3">
      <c r="B312" s="11"/>
      <c r="C312" s="11"/>
      <c r="D312" s="7"/>
    </row>
    <row r="313" spans="2:4" x14ac:dyDescent="0.3">
      <c r="B313" s="11"/>
      <c r="C313" s="11"/>
      <c r="D313" s="7"/>
    </row>
    <row r="314" spans="2:4" x14ac:dyDescent="0.3">
      <c r="B314" s="11"/>
      <c r="C314" s="11"/>
      <c r="D314" s="7"/>
    </row>
    <row r="315" spans="2:4" x14ac:dyDescent="0.3">
      <c r="B315" s="11"/>
      <c r="C315" s="11"/>
      <c r="D315" s="7"/>
    </row>
    <row r="316" spans="2:4" x14ac:dyDescent="0.3">
      <c r="B316" s="11"/>
      <c r="C316" s="11"/>
      <c r="D316" s="7"/>
    </row>
    <row r="317" spans="2:4" x14ac:dyDescent="0.3">
      <c r="B317" s="11"/>
      <c r="C317" s="11"/>
      <c r="D317" s="7"/>
    </row>
    <row r="318" spans="2:4" x14ac:dyDescent="0.3">
      <c r="B318" s="11"/>
      <c r="C318" s="11"/>
      <c r="D318" s="7"/>
    </row>
    <row r="319" spans="2:4" x14ac:dyDescent="0.3">
      <c r="B319" s="11"/>
      <c r="C319" s="11"/>
      <c r="D319" s="7"/>
    </row>
    <row r="320" spans="2:4" x14ac:dyDescent="0.3">
      <c r="B320" s="11"/>
      <c r="C320" s="11"/>
      <c r="D320" s="7"/>
    </row>
    <row r="321" spans="2:4" x14ac:dyDescent="0.3">
      <c r="B321" s="11"/>
      <c r="C321" s="11"/>
      <c r="D321" s="7"/>
    </row>
    <row r="322" spans="2:4" x14ac:dyDescent="0.3">
      <c r="B322" s="11"/>
      <c r="C322" s="11"/>
      <c r="D322" s="7"/>
    </row>
    <row r="323" spans="2:4" x14ac:dyDescent="0.3">
      <c r="B323" s="11"/>
      <c r="C323" s="11"/>
      <c r="D323" s="7"/>
    </row>
    <row r="324" spans="2:4" x14ac:dyDescent="0.3">
      <c r="B324" s="11"/>
      <c r="C324" s="11"/>
      <c r="D324" s="7"/>
    </row>
    <row r="325" spans="2:4" x14ac:dyDescent="0.3">
      <c r="B325" s="11"/>
      <c r="C325" s="11"/>
      <c r="D325" s="7"/>
    </row>
    <row r="326" spans="2:4" x14ac:dyDescent="0.3">
      <c r="B326" s="11"/>
      <c r="C326" s="11"/>
      <c r="D326" s="7"/>
    </row>
    <row r="327" spans="2:4" x14ac:dyDescent="0.3">
      <c r="B327" s="11"/>
      <c r="C327" s="11"/>
      <c r="D327" s="7"/>
    </row>
    <row r="328" spans="2:4" x14ac:dyDescent="0.3">
      <c r="B328" s="11"/>
      <c r="C328" s="11"/>
      <c r="D328" s="7"/>
    </row>
    <row r="329" spans="2:4" x14ac:dyDescent="0.3">
      <c r="B329" s="11"/>
      <c r="C329" s="11"/>
      <c r="D329" s="7"/>
    </row>
    <row r="330" spans="2:4" x14ac:dyDescent="0.3">
      <c r="B330" s="11"/>
      <c r="C330" s="11"/>
      <c r="D330" s="7"/>
    </row>
    <row r="331" spans="2:4" x14ac:dyDescent="0.3">
      <c r="B331" s="11"/>
      <c r="C331" s="11"/>
      <c r="D331" s="7"/>
    </row>
    <row r="332" spans="2:4" x14ac:dyDescent="0.3">
      <c r="B332" s="11"/>
      <c r="C332" s="11"/>
      <c r="D332" s="7"/>
    </row>
    <row r="333" spans="2:4" x14ac:dyDescent="0.3">
      <c r="B333" s="11"/>
      <c r="C333" s="11"/>
      <c r="D333" s="7"/>
    </row>
    <row r="334" spans="2:4" x14ac:dyDescent="0.3">
      <c r="B334" s="11"/>
      <c r="C334" s="11"/>
      <c r="D334" s="7"/>
    </row>
    <row r="335" spans="2:4" x14ac:dyDescent="0.3">
      <c r="B335" s="11"/>
      <c r="C335" s="11"/>
      <c r="D335" s="7"/>
    </row>
    <row r="336" spans="2:4" x14ac:dyDescent="0.3">
      <c r="B336" s="11"/>
      <c r="C336" s="11"/>
      <c r="D336" s="7"/>
    </row>
    <row r="337" spans="2:4" x14ac:dyDescent="0.3">
      <c r="B337" s="11"/>
      <c r="C337" s="11"/>
      <c r="D337" s="7"/>
    </row>
    <row r="338" spans="2:4" x14ac:dyDescent="0.3">
      <c r="B338" s="11"/>
      <c r="C338" s="11"/>
      <c r="D338" s="7"/>
    </row>
    <row r="339" spans="2:4" x14ac:dyDescent="0.3">
      <c r="B339" s="11"/>
      <c r="C339" s="11"/>
      <c r="D339" s="7"/>
    </row>
    <row r="340" spans="2:4" x14ac:dyDescent="0.3">
      <c r="B340" s="11"/>
      <c r="C340" s="11"/>
      <c r="D340" s="7"/>
    </row>
    <row r="341" spans="2:4" x14ac:dyDescent="0.3">
      <c r="B341" s="11"/>
      <c r="C341" s="11"/>
      <c r="D341" s="7"/>
    </row>
    <row r="342" spans="2:4" x14ac:dyDescent="0.3">
      <c r="B342" s="11"/>
      <c r="C342" s="11"/>
      <c r="D342" s="7"/>
    </row>
    <row r="343" spans="2:4" x14ac:dyDescent="0.3">
      <c r="B343" s="11"/>
      <c r="C343" s="11"/>
      <c r="D343" s="7"/>
    </row>
    <row r="344" spans="2:4" x14ac:dyDescent="0.3">
      <c r="B344" s="11"/>
      <c r="C344" s="11"/>
      <c r="D344" s="7"/>
    </row>
    <row r="345" spans="2:4" x14ac:dyDescent="0.3">
      <c r="B345" s="11"/>
      <c r="C345" s="11"/>
      <c r="D345" s="7"/>
    </row>
    <row r="346" spans="2:4" x14ac:dyDescent="0.3">
      <c r="B346" s="11"/>
      <c r="C346" s="11"/>
      <c r="D346" s="7"/>
    </row>
    <row r="347" spans="2:4" x14ac:dyDescent="0.3">
      <c r="B347" s="11"/>
      <c r="C347" s="11"/>
      <c r="D347" s="7"/>
    </row>
    <row r="348" spans="2:4" x14ac:dyDescent="0.3">
      <c r="B348" s="11"/>
      <c r="C348" s="11"/>
      <c r="D348" s="7"/>
    </row>
    <row r="349" spans="2:4" x14ac:dyDescent="0.3">
      <c r="B349" s="11"/>
      <c r="C349" s="11"/>
      <c r="D349" s="7"/>
    </row>
    <row r="350" spans="2:4" x14ac:dyDescent="0.3">
      <c r="B350" s="11"/>
      <c r="C350" s="11"/>
      <c r="D350" s="7"/>
    </row>
    <row r="351" spans="2:4" x14ac:dyDescent="0.3">
      <c r="B351" s="11"/>
      <c r="C351" s="11"/>
      <c r="D351" s="7"/>
    </row>
    <row r="352" spans="2:4" x14ac:dyDescent="0.3">
      <c r="B352" s="11"/>
      <c r="C352" s="11"/>
      <c r="D352" s="7"/>
    </row>
    <row r="353" spans="2:5" x14ac:dyDescent="0.3">
      <c r="B353" s="11"/>
      <c r="C353" s="11"/>
      <c r="D353" s="7"/>
    </row>
    <row r="354" spans="2:5" x14ac:dyDescent="0.3">
      <c r="B354" s="11"/>
      <c r="C354" s="11"/>
      <c r="D354" s="7"/>
    </row>
    <row r="355" spans="2:5" x14ac:dyDescent="0.3">
      <c r="B355" s="11"/>
      <c r="C355" s="11"/>
      <c r="D355" s="7"/>
    </row>
    <row r="356" spans="2:5" x14ac:dyDescent="0.3">
      <c r="B356" s="11"/>
      <c r="C356" s="11"/>
      <c r="D356" s="7"/>
    </row>
    <row r="357" spans="2:5" x14ac:dyDescent="0.3">
      <c r="B357" s="11"/>
      <c r="C357" s="11"/>
      <c r="D357" s="7"/>
    </row>
    <row r="358" spans="2:5" x14ac:dyDescent="0.3">
      <c r="B358" s="11"/>
      <c r="C358" s="11"/>
      <c r="D358" s="7"/>
    </row>
    <row r="359" spans="2:5" x14ac:dyDescent="0.3">
      <c r="B359" s="11"/>
      <c r="C359" s="11"/>
      <c r="D359" s="7"/>
    </row>
    <row r="360" spans="2:5" x14ac:dyDescent="0.3">
      <c r="B360" s="11"/>
      <c r="C360" s="11"/>
      <c r="D360" s="7"/>
    </row>
    <row r="361" spans="2:5" x14ac:dyDescent="0.3">
      <c r="B361" s="11"/>
      <c r="C361" s="11"/>
      <c r="D361" s="7"/>
    </row>
    <row r="362" spans="2:5" x14ac:dyDescent="0.3">
      <c r="B362" s="11"/>
      <c r="C362" s="11"/>
      <c r="D362" s="7"/>
    </row>
    <row r="363" spans="2:5" x14ac:dyDescent="0.3">
      <c r="B363" s="11"/>
      <c r="C363" s="11"/>
      <c r="D363" s="7"/>
    </row>
    <row r="364" spans="2:5" x14ac:dyDescent="0.3">
      <c r="B364" s="11"/>
      <c r="C364" s="11"/>
      <c r="D364" s="7"/>
    </row>
    <row r="365" spans="2:5" x14ac:dyDescent="0.3">
      <c r="B365" s="11"/>
      <c r="C365" s="11"/>
      <c r="D365" s="7"/>
    </row>
    <row r="366" spans="2:5" x14ac:dyDescent="0.3">
      <c r="B366" s="11"/>
      <c r="C366" s="11"/>
      <c r="D366" s="7"/>
    </row>
    <row r="367" spans="2:5" x14ac:dyDescent="0.3">
      <c r="B367" s="11"/>
      <c r="C367" s="11"/>
      <c r="D367" s="7"/>
    </row>
    <row r="368" spans="2:5" x14ac:dyDescent="0.3">
      <c r="C368" s="31"/>
      <c r="D368" s="31"/>
      <c r="E368" s="31"/>
    </row>
  </sheetData>
  <sortState ref="M5:N53">
    <sortCondition ref="M5"/>
  </sortState>
  <mergeCells count="10">
    <mergeCell ref="AM2:AM4"/>
    <mergeCell ref="AM5:AM7"/>
    <mergeCell ref="AM8:AM10"/>
    <mergeCell ref="E1:G1"/>
    <mergeCell ref="H1:J1"/>
    <mergeCell ref="K1:M1"/>
    <mergeCell ref="AC1:AF1"/>
    <mergeCell ref="AG1:AJ1"/>
    <mergeCell ref="T1:W1"/>
    <mergeCell ref="X1:AA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0954-CBE4-4281-91E0-B5F879F9BD43}">
  <dimension ref="B2:F168"/>
  <sheetViews>
    <sheetView workbookViewId="0">
      <selection activeCell="B1" sqref="B1"/>
    </sheetView>
  </sheetViews>
  <sheetFormatPr defaultRowHeight="14.4" x14ac:dyDescent="0.3"/>
  <cols>
    <col min="1" max="1" width="8.88671875" style="1"/>
    <col min="2" max="2" width="27.33203125" style="1" bestFit="1" customWidth="1"/>
    <col min="3" max="3" width="32" style="1" bestFit="1" customWidth="1"/>
    <col min="4" max="4" width="32.33203125" style="1" bestFit="1" customWidth="1"/>
    <col min="5" max="5" width="19.77734375" style="1" bestFit="1" customWidth="1"/>
    <col min="6" max="6" width="19.21875" style="1" bestFit="1" customWidth="1"/>
    <col min="7" max="16384" width="8.88671875" style="1"/>
  </cols>
  <sheetData>
    <row r="2" spans="2:6" x14ac:dyDescent="0.3">
      <c r="B2" s="4" t="s">
        <v>167</v>
      </c>
      <c r="C2" s="4" t="s">
        <v>166</v>
      </c>
      <c r="D2" s="37" t="s">
        <v>165</v>
      </c>
      <c r="E2" s="37"/>
    </row>
    <row r="3" spans="2:6" x14ac:dyDescent="0.3">
      <c r="D3" s="3" t="s">
        <v>168</v>
      </c>
      <c r="E3" s="3" t="s">
        <v>164</v>
      </c>
    </row>
    <row r="4" spans="2:6" x14ac:dyDescent="0.3">
      <c r="B4" s="2">
        <v>14416</v>
      </c>
      <c r="C4" s="1">
        <f t="shared" ref="C4:C11" si="0">B4/1000</f>
        <v>14.416</v>
      </c>
      <c r="D4" s="1">
        <f t="shared" ref="D4:D11" si="1">C4/0.82</f>
        <v>17.58048780487805</v>
      </c>
      <c r="E4" s="2">
        <v>17.58048780487805</v>
      </c>
      <c r="F4" s="2">
        <f>E4/$E$168*186000</f>
        <v>19.645010445023697</v>
      </c>
    </row>
    <row r="5" spans="2:6" x14ac:dyDescent="0.3">
      <c r="B5" s="2">
        <v>0</v>
      </c>
      <c r="C5" s="1">
        <f t="shared" si="0"/>
        <v>0</v>
      </c>
      <c r="D5" s="1">
        <f t="shared" si="1"/>
        <v>0</v>
      </c>
      <c r="E5" s="2">
        <v>0</v>
      </c>
      <c r="F5" s="2">
        <f t="shared" ref="F5:F68" si="2">E5/$E$168*186000</f>
        <v>0</v>
      </c>
    </row>
    <row r="6" spans="2:6" x14ac:dyDescent="0.3">
      <c r="B6" s="2">
        <v>1043200</v>
      </c>
      <c r="C6" s="1">
        <f t="shared" si="0"/>
        <v>1043.2</v>
      </c>
      <c r="D6" s="1">
        <f t="shared" si="1"/>
        <v>1272.1951219512196</v>
      </c>
      <c r="E6" s="2">
        <v>2200</v>
      </c>
      <c r="F6" s="2">
        <f t="shared" si="2"/>
        <v>2458.3517510282145</v>
      </c>
    </row>
    <row r="7" spans="2:6" x14ac:dyDescent="0.3">
      <c r="B7" s="2">
        <v>0</v>
      </c>
      <c r="C7" s="1">
        <f t="shared" si="0"/>
        <v>0</v>
      </c>
      <c r="D7" s="1">
        <f t="shared" si="1"/>
        <v>0</v>
      </c>
      <c r="E7" s="2">
        <v>0</v>
      </c>
      <c r="F7" s="2">
        <f t="shared" si="2"/>
        <v>0</v>
      </c>
    </row>
    <row r="8" spans="2:6" x14ac:dyDescent="0.3">
      <c r="B8" s="2">
        <v>0</v>
      </c>
      <c r="C8" s="1">
        <f t="shared" si="0"/>
        <v>0</v>
      </c>
      <c r="D8" s="1">
        <f t="shared" si="1"/>
        <v>0</v>
      </c>
      <c r="E8" s="2">
        <v>0</v>
      </c>
      <c r="F8" s="2">
        <f t="shared" si="2"/>
        <v>0</v>
      </c>
    </row>
    <row r="9" spans="2:6" x14ac:dyDescent="0.3">
      <c r="B9" s="2">
        <v>510238.18</v>
      </c>
      <c r="C9" s="1">
        <f t="shared" si="0"/>
        <v>510.23818</v>
      </c>
      <c r="D9" s="1">
        <f t="shared" si="1"/>
        <v>622.2416829268293</v>
      </c>
      <c r="E9" s="2">
        <v>622.2416829268293</v>
      </c>
      <c r="F9" s="2">
        <f t="shared" si="2"/>
        <v>695.31315035723367</v>
      </c>
    </row>
    <row r="10" spans="2:6" x14ac:dyDescent="0.3">
      <c r="B10" s="2">
        <v>0</v>
      </c>
      <c r="C10" s="1">
        <f t="shared" si="0"/>
        <v>0</v>
      </c>
      <c r="D10" s="1">
        <f t="shared" si="1"/>
        <v>0</v>
      </c>
      <c r="E10" s="2">
        <v>0</v>
      </c>
      <c r="F10" s="2">
        <f t="shared" si="2"/>
        <v>0</v>
      </c>
    </row>
    <row r="11" spans="2:6" x14ac:dyDescent="0.3">
      <c r="B11" s="2">
        <v>423400</v>
      </c>
      <c r="C11" s="1">
        <f t="shared" si="0"/>
        <v>423.4</v>
      </c>
      <c r="D11" s="1">
        <f t="shared" si="1"/>
        <v>516.34146341463418</v>
      </c>
      <c r="E11" s="2">
        <v>1600</v>
      </c>
      <c r="F11" s="2">
        <f t="shared" si="2"/>
        <v>1787.8921825659743</v>
      </c>
    </row>
    <row r="12" spans="2:6" x14ac:dyDescent="0.3">
      <c r="B12" s="2"/>
      <c r="E12" s="2">
        <v>333</v>
      </c>
      <c r="F12" s="2">
        <f t="shared" si="2"/>
        <v>372.10506049654339</v>
      </c>
    </row>
    <row r="13" spans="2:6" x14ac:dyDescent="0.3">
      <c r="B13" s="2">
        <v>0</v>
      </c>
      <c r="C13" s="1">
        <f t="shared" ref="C13:C44" si="3">B13/1000</f>
        <v>0</v>
      </c>
      <c r="D13" s="1">
        <f t="shared" ref="D13:D44" si="4">C13/0.82</f>
        <v>0</v>
      </c>
      <c r="E13" s="2">
        <v>0</v>
      </c>
      <c r="F13" s="2">
        <f t="shared" si="2"/>
        <v>0</v>
      </c>
    </row>
    <row r="14" spans="2:6" x14ac:dyDescent="0.3">
      <c r="B14" s="2">
        <v>0</v>
      </c>
      <c r="C14" s="1">
        <f t="shared" si="3"/>
        <v>0</v>
      </c>
      <c r="D14" s="1">
        <f t="shared" si="4"/>
        <v>0</v>
      </c>
      <c r="E14" s="2">
        <v>0</v>
      </c>
      <c r="F14" s="2">
        <f t="shared" si="2"/>
        <v>0</v>
      </c>
    </row>
    <row r="15" spans="2:6" x14ac:dyDescent="0.3">
      <c r="B15" s="2">
        <v>355656.96000000002</v>
      </c>
      <c r="C15" s="1">
        <f t="shared" si="3"/>
        <v>355.65696000000003</v>
      </c>
      <c r="D15" s="1">
        <f t="shared" si="4"/>
        <v>433.72800000000007</v>
      </c>
      <c r="E15" s="2">
        <v>433.72800000000007</v>
      </c>
      <c r="F15" s="2">
        <f t="shared" si="2"/>
        <v>484.66181284998441</v>
      </c>
    </row>
    <row r="16" spans="2:6" x14ac:dyDescent="0.3">
      <c r="B16" s="2">
        <v>379840</v>
      </c>
      <c r="C16" s="1">
        <f t="shared" si="3"/>
        <v>379.84</v>
      </c>
      <c r="D16" s="1">
        <f t="shared" si="4"/>
        <v>463.21951219512192</v>
      </c>
      <c r="E16" s="2">
        <v>463.21951219512192</v>
      </c>
      <c r="F16" s="2">
        <f t="shared" si="2"/>
        <v>517.61659041605162</v>
      </c>
    </row>
    <row r="17" spans="2:6" x14ac:dyDescent="0.3">
      <c r="B17" s="2">
        <v>0</v>
      </c>
      <c r="C17" s="1">
        <f t="shared" si="3"/>
        <v>0</v>
      </c>
      <c r="D17" s="1">
        <f t="shared" si="4"/>
        <v>0</v>
      </c>
      <c r="E17" s="2">
        <v>0</v>
      </c>
      <c r="F17" s="2">
        <f t="shared" si="2"/>
        <v>0</v>
      </c>
    </row>
    <row r="18" spans="2:6" x14ac:dyDescent="0.3">
      <c r="B18" s="2">
        <v>988187</v>
      </c>
      <c r="C18" s="1">
        <f t="shared" si="3"/>
        <v>988.18700000000001</v>
      </c>
      <c r="D18" s="1">
        <f t="shared" si="4"/>
        <v>1205.1060975609757</v>
      </c>
      <c r="E18" s="2">
        <v>1205.1060975609757</v>
      </c>
      <c r="F18" s="2">
        <f t="shared" si="2"/>
        <v>1346.6248568699107</v>
      </c>
    </row>
    <row r="19" spans="2:6" x14ac:dyDescent="0.3">
      <c r="B19" s="2">
        <v>787600</v>
      </c>
      <c r="C19" s="1">
        <f t="shared" si="3"/>
        <v>787.6</v>
      </c>
      <c r="D19" s="1">
        <f t="shared" si="4"/>
        <v>960.48780487804891</v>
      </c>
      <c r="E19" s="2">
        <v>960.48780487804891</v>
      </c>
      <c r="F19" s="2">
        <f t="shared" si="2"/>
        <v>1073.2803986196354</v>
      </c>
    </row>
    <row r="20" spans="2:6" x14ac:dyDescent="0.3">
      <c r="B20" s="2">
        <v>0</v>
      </c>
      <c r="C20" s="1">
        <f t="shared" si="3"/>
        <v>0</v>
      </c>
      <c r="D20" s="1">
        <f t="shared" si="4"/>
        <v>0</v>
      </c>
      <c r="E20" s="2">
        <v>0</v>
      </c>
      <c r="F20" s="2">
        <f t="shared" si="2"/>
        <v>0</v>
      </c>
    </row>
    <row r="21" spans="2:6" x14ac:dyDescent="0.3">
      <c r="B21" s="2">
        <v>0</v>
      </c>
      <c r="C21" s="1">
        <f t="shared" si="3"/>
        <v>0</v>
      </c>
      <c r="D21" s="1">
        <f t="shared" si="4"/>
        <v>0</v>
      </c>
      <c r="E21" s="2">
        <v>0</v>
      </c>
      <c r="F21" s="2">
        <f t="shared" si="2"/>
        <v>0</v>
      </c>
    </row>
    <row r="22" spans="2:6" x14ac:dyDescent="0.3">
      <c r="B22" s="2">
        <v>0</v>
      </c>
      <c r="C22" s="1">
        <f t="shared" si="3"/>
        <v>0</v>
      </c>
      <c r="D22" s="1">
        <f t="shared" si="4"/>
        <v>0</v>
      </c>
      <c r="E22" s="2">
        <v>0</v>
      </c>
      <c r="F22" s="2">
        <f t="shared" si="2"/>
        <v>0</v>
      </c>
    </row>
    <row r="23" spans="2:6" x14ac:dyDescent="0.3">
      <c r="B23" s="2">
        <v>133065.84</v>
      </c>
      <c r="C23" s="1">
        <f t="shared" si="3"/>
        <v>133.06584000000001</v>
      </c>
      <c r="D23" s="1">
        <f t="shared" si="4"/>
        <v>162.27541463414636</v>
      </c>
      <c r="E23" s="2">
        <v>162.27541463414636</v>
      </c>
      <c r="F23" s="2">
        <f t="shared" si="2"/>
        <v>181.33184077940149</v>
      </c>
    </row>
    <row r="24" spans="2:6" x14ac:dyDescent="0.3">
      <c r="B24" s="2">
        <v>47811.14</v>
      </c>
      <c r="C24" s="1">
        <f t="shared" si="3"/>
        <v>47.811140000000002</v>
      </c>
      <c r="D24" s="1">
        <f t="shared" si="4"/>
        <v>58.30626829268293</v>
      </c>
      <c r="E24" s="2">
        <v>58.30626829268293</v>
      </c>
      <c r="F24" s="2">
        <f t="shared" si="2"/>
        <v>65.153325796926339</v>
      </c>
    </row>
    <row r="25" spans="2:6" x14ac:dyDescent="0.3">
      <c r="B25" s="2">
        <v>0</v>
      </c>
      <c r="C25" s="1">
        <f t="shared" si="3"/>
        <v>0</v>
      </c>
      <c r="D25" s="1">
        <f t="shared" si="4"/>
        <v>0</v>
      </c>
      <c r="E25" s="2">
        <v>0</v>
      </c>
      <c r="F25" s="2">
        <f t="shared" si="2"/>
        <v>0</v>
      </c>
    </row>
    <row r="26" spans="2:6" x14ac:dyDescent="0.3">
      <c r="B26" s="2">
        <v>356784.6</v>
      </c>
      <c r="C26" s="1">
        <f t="shared" si="3"/>
        <v>356.78459999999995</v>
      </c>
      <c r="D26" s="1">
        <f t="shared" si="4"/>
        <v>435.10317073170728</v>
      </c>
      <c r="E26" s="2">
        <v>435.10317073170728</v>
      </c>
      <c r="F26" s="2">
        <f t="shared" si="2"/>
        <v>486.19847347555492</v>
      </c>
    </row>
    <row r="27" spans="2:6" x14ac:dyDescent="0.3">
      <c r="B27" s="2">
        <v>0</v>
      </c>
      <c r="C27" s="1">
        <f t="shared" si="3"/>
        <v>0</v>
      </c>
      <c r="D27" s="1">
        <f t="shared" si="4"/>
        <v>0</v>
      </c>
      <c r="E27" s="2">
        <v>0</v>
      </c>
      <c r="F27" s="2">
        <f t="shared" si="2"/>
        <v>0</v>
      </c>
    </row>
    <row r="28" spans="2:6" x14ac:dyDescent="0.3">
      <c r="B28" s="2">
        <v>264388.64</v>
      </c>
      <c r="C28" s="1">
        <f t="shared" si="3"/>
        <v>264.38864000000001</v>
      </c>
      <c r="D28" s="1">
        <f t="shared" si="4"/>
        <v>322.42517073170734</v>
      </c>
      <c r="E28" s="2">
        <v>768</v>
      </c>
      <c r="F28" s="2">
        <f t="shared" si="2"/>
        <v>858.18824763166776</v>
      </c>
    </row>
    <row r="29" spans="2:6" x14ac:dyDescent="0.3">
      <c r="B29" s="2">
        <v>0</v>
      </c>
      <c r="C29" s="1">
        <f t="shared" si="3"/>
        <v>0</v>
      </c>
      <c r="D29" s="1">
        <f t="shared" si="4"/>
        <v>0</v>
      </c>
      <c r="E29" s="2">
        <v>0</v>
      </c>
      <c r="F29" s="2">
        <f t="shared" si="2"/>
        <v>0</v>
      </c>
    </row>
    <row r="30" spans="2:6" x14ac:dyDescent="0.3">
      <c r="B30" s="2">
        <v>0</v>
      </c>
      <c r="C30" s="1">
        <f t="shared" si="3"/>
        <v>0</v>
      </c>
      <c r="D30" s="1">
        <f t="shared" si="4"/>
        <v>0</v>
      </c>
      <c r="E30" s="2">
        <v>0</v>
      </c>
      <c r="F30" s="2">
        <f t="shared" si="2"/>
        <v>0</v>
      </c>
    </row>
    <row r="31" spans="2:6" x14ac:dyDescent="0.3">
      <c r="B31" s="2">
        <v>0</v>
      </c>
      <c r="C31" s="1">
        <f t="shared" si="3"/>
        <v>0</v>
      </c>
      <c r="D31" s="1">
        <f t="shared" si="4"/>
        <v>0</v>
      </c>
      <c r="E31" s="2">
        <v>0</v>
      </c>
      <c r="F31" s="2">
        <f t="shared" si="2"/>
        <v>0</v>
      </c>
    </row>
    <row r="32" spans="2:6" x14ac:dyDescent="0.3">
      <c r="B32" s="2">
        <v>0</v>
      </c>
      <c r="C32" s="1">
        <f t="shared" si="3"/>
        <v>0</v>
      </c>
      <c r="D32" s="1">
        <f t="shared" si="4"/>
        <v>0</v>
      </c>
      <c r="E32" s="2">
        <v>0</v>
      </c>
      <c r="F32" s="2">
        <f t="shared" si="2"/>
        <v>0</v>
      </c>
    </row>
    <row r="33" spans="2:6" x14ac:dyDescent="0.3">
      <c r="B33" s="2">
        <v>3927800</v>
      </c>
      <c r="C33" s="1">
        <f t="shared" si="3"/>
        <v>3927.8</v>
      </c>
      <c r="D33" s="1">
        <f t="shared" si="4"/>
        <v>4790.0000000000009</v>
      </c>
      <c r="E33" s="2">
        <v>4790.0000000000009</v>
      </c>
      <c r="F33" s="2">
        <f t="shared" si="2"/>
        <v>5352.502221556887</v>
      </c>
    </row>
    <row r="34" spans="2:6" x14ac:dyDescent="0.3">
      <c r="B34" s="2">
        <v>0</v>
      </c>
      <c r="C34" s="1">
        <f t="shared" si="3"/>
        <v>0</v>
      </c>
      <c r="D34" s="1">
        <f t="shared" si="4"/>
        <v>0</v>
      </c>
      <c r="E34" s="2">
        <v>0</v>
      </c>
      <c r="F34" s="2">
        <f t="shared" si="2"/>
        <v>0</v>
      </c>
    </row>
    <row r="35" spans="2:6" x14ac:dyDescent="0.3">
      <c r="B35" s="2">
        <v>40900</v>
      </c>
      <c r="C35" s="1">
        <f t="shared" si="3"/>
        <v>40.9</v>
      </c>
      <c r="D35" s="1">
        <f t="shared" si="4"/>
        <v>49.878048780487809</v>
      </c>
      <c r="E35" s="2">
        <v>49.878048780487809</v>
      </c>
      <c r="F35" s="2">
        <f t="shared" si="2"/>
        <v>55.735358435174049</v>
      </c>
    </row>
    <row r="36" spans="2:6" x14ac:dyDescent="0.3">
      <c r="B36" s="2">
        <v>32529245.109999999</v>
      </c>
      <c r="C36" s="1">
        <f t="shared" si="3"/>
        <v>32529.24511</v>
      </c>
      <c r="D36" s="1">
        <f t="shared" si="4"/>
        <v>39669.811109756098</v>
      </c>
      <c r="E36" s="2">
        <v>39669.811109756098</v>
      </c>
      <c r="F36" s="2">
        <f t="shared" si="2"/>
        <v>44328.340729376105</v>
      </c>
    </row>
    <row r="37" spans="2:6" x14ac:dyDescent="0.3">
      <c r="B37" s="2">
        <v>133207.62</v>
      </c>
      <c r="C37" s="1">
        <f t="shared" si="3"/>
        <v>133.20761999999999</v>
      </c>
      <c r="D37" s="1">
        <f t="shared" si="4"/>
        <v>162.44831707317073</v>
      </c>
      <c r="E37" s="2">
        <v>162.44831707317073</v>
      </c>
      <c r="F37" s="2">
        <f t="shared" si="2"/>
        <v>181.52504760382541</v>
      </c>
    </row>
    <row r="38" spans="2:6" x14ac:dyDescent="0.3">
      <c r="B38" s="2">
        <v>92400</v>
      </c>
      <c r="C38" s="1">
        <f t="shared" si="3"/>
        <v>92.4</v>
      </c>
      <c r="D38" s="1">
        <f t="shared" si="4"/>
        <v>112.68292682926831</v>
      </c>
      <c r="E38" s="2">
        <v>112.68292682926831</v>
      </c>
      <c r="F38" s="2">
        <f t="shared" si="2"/>
        <v>125.91557749168908</v>
      </c>
    </row>
    <row r="39" spans="2:6" x14ac:dyDescent="0.3">
      <c r="B39" s="2">
        <v>0</v>
      </c>
      <c r="C39" s="1">
        <f t="shared" si="3"/>
        <v>0</v>
      </c>
      <c r="D39" s="1">
        <f t="shared" si="4"/>
        <v>0</v>
      </c>
      <c r="E39" s="2">
        <v>0</v>
      </c>
      <c r="F39" s="2">
        <f t="shared" si="2"/>
        <v>0</v>
      </c>
    </row>
    <row r="40" spans="2:6" x14ac:dyDescent="0.3">
      <c r="B40" s="2">
        <v>0</v>
      </c>
      <c r="C40" s="1">
        <f t="shared" si="3"/>
        <v>0</v>
      </c>
      <c r="D40" s="1">
        <f t="shared" si="4"/>
        <v>0</v>
      </c>
      <c r="E40" s="2">
        <v>0</v>
      </c>
      <c r="F40" s="2">
        <f t="shared" si="2"/>
        <v>0</v>
      </c>
    </row>
    <row r="41" spans="2:6" x14ac:dyDescent="0.3">
      <c r="B41" s="2">
        <v>0</v>
      </c>
      <c r="C41" s="1">
        <f t="shared" si="3"/>
        <v>0</v>
      </c>
      <c r="D41" s="1">
        <f t="shared" si="4"/>
        <v>0</v>
      </c>
      <c r="E41" s="2">
        <v>0</v>
      </c>
      <c r="F41" s="2">
        <f t="shared" si="2"/>
        <v>0</v>
      </c>
    </row>
    <row r="42" spans="2:6" x14ac:dyDescent="0.3">
      <c r="B42" s="2">
        <v>0</v>
      </c>
      <c r="C42" s="1">
        <f t="shared" si="3"/>
        <v>0</v>
      </c>
      <c r="D42" s="1">
        <f t="shared" si="4"/>
        <v>0</v>
      </c>
      <c r="E42" s="2">
        <v>0</v>
      </c>
      <c r="F42" s="2">
        <f t="shared" si="2"/>
        <v>0</v>
      </c>
    </row>
    <row r="43" spans="2:6" x14ac:dyDescent="0.3">
      <c r="B43" s="2">
        <v>377740.37</v>
      </c>
      <c r="C43" s="1">
        <f t="shared" si="3"/>
        <v>377.74036999999998</v>
      </c>
      <c r="D43" s="1">
        <f t="shared" si="4"/>
        <v>460.65898780487805</v>
      </c>
      <c r="E43" s="2">
        <v>460.65898780487805</v>
      </c>
      <c r="F43" s="2">
        <f t="shared" si="2"/>
        <v>514.75537695318496</v>
      </c>
    </row>
    <row r="44" spans="2:6" x14ac:dyDescent="0.3">
      <c r="B44" s="2">
        <v>9400</v>
      </c>
      <c r="C44" s="1">
        <f t="shared" si="3"/>
        <v>9.4</v>
      </c>
      <c r="D44" s="1">
        <f t="shared" si="4"/>
        <v>11.463414634146343</v>
      </c>
      <c r="E44" s="2">
        <v>11.463414634146343</v>
      </c>
      <c r="F44" s="2">
        <f t="shared" si="2"/>
        <v>12.809593381189146</v>
      </c>
    </row>
    <row r="45" spans="2:6" x14ac:dyDescent="0.3">
      <c r="B45" s="2">
        <v>0</v>
      </c>
      <c r="C45" s="1">
        <f t="shared" ref="C45:C76" si="5">B45/1000</f>
        <v>0</v>
      </c>
      <c r="D45" s="1">
        <f t="shared" ref="D45:D76" si="6">C45/0.82</f>
        <v>0</v>
      </c>
      <c r="E45" s="2">
        <v>0</v>
      </c>
      <c r="F45" s="2">
        <f t="shared" si="2"/>
        <v>0</v>
      </c>
    </row>
    <row r="46" spans="2:6" x14ac:dyDescent="0.3">
      <c r="B46" s="2">
        <v>113166.3</v>
      </c>
      <c r="C46" s="1">
        <f t="shared" si="5"/>
        <v>113.16630000000001</v>
      </c>
      <c r="D46" s="1">
        <f t="shared" si="6"/>
        <v>138.00768292682929</v>
      </c>
      <c r="E46" s="2">
        <v>240</v>
      </c>
      <c r="F46" s="2">
        <f t="shared" si="2"/>
        <v>268.18382738489618</v>
      </c>
    </row>
    <row r="47" spans="2:6" x14ac:dyDescent="0.3">
      <c r="B47" s="2">
        <v>0</v>
      </c>
      <c r="C47" s="1">
        <f t="shared" si="5"/>
        <v>0</v>
      </c>
      <c r="D47" s="1">
        <f t="shared" si="6"/>
        <v>0</v>
      </c>
      <c r="E47" s="2">
        <v>0</v>
      </c>
      <c r="F47" s="2">
        <f t="shared" si="2"/>
        <v>0</v>
      </c>
    </row>
    <row r="48" spans="2:6" x14ac:dyDescent="0.3">
      <c r="B48" s="2">
        <v>0</v>
      </c>
      <c r="C48" s="1">
        <f t="shared" si="5"/>
        <v>0</v>
      </c>
      <c r="D48" s="1">
        <f t="shared" si="6"/>
        <v>0</v>
      </c>
      <c r="E48" s="2">
        <v>0</v>
      </c>
      <c r="F48" s="2">
        <f t="shared" si="2"/>
        <v>0</v>
      </c>
    </row>
    <row r="49" spans="2:6" x14ac:dyDescent="0.3">
      <c r="B49" s="2">
        <v>0</v>
      </c>
      <c r="C49" s="1">
        <f t="shared" si="5"/>
        <v>0</v>
      </c>
      <c r="D49" s="1">
        <f t="shared" si="6"/>
        <v>0</v>
      </c>
      <c r="E49" s="2">
        <v>0</v>
      </c>
      <c r="F49" s="2">
        <f t="shared" si="2"/>
        <v>0</v>
      </c>
    </row>
    <row r="50" spans="2:6" x14ac:dyDescent="0.3">
      <c r="B50" s="2">
        <v>0</v>
      </c>
      <c r="C50" s="1">
        <f t="shared" si="5"/>
        <v>0</v>
      </c>
      <c r="D50" s="1">
        <f t="shared" si="6"/>
        <v>0</v>
      </c>
      <c r="E50" s="2">
        <v>0</v>
      </c>
      <c r="F50" s="2">
        <f t="shared" si="2"/>
        <v>0</v>
      </c>
    </row>
    <row r="51" spans="2:6" x14ac:dyDescent="0.3">
      <c r="B51" s="2">
        <v>0</v>
      </c>
      <c r="C51" s="1">
        <f t="shared" si="5"/>
        <v>0</v>
      </c>
      <c r="D51" s="1">
        <f t="shared" si="6"/>
        <v>0</v>
      </c>
      <c r="E51" s="2">
        <v>0</v>
      </c>
      <c r="F51" s="2">
        <f t="shared" si="2"/>
        <v>0</v>
      </c>
    </row>
    <row r="52" spans="2:6" x14ac:dyDescent="0.3">
      <c r="B52" s="2">
        <v>4200000</v>
      </c>
      <c r="C52" s="1">
        <f t="shared" si="5"/>
        <v>4200</v>
      </c>
      <c r="D52" s="1">
        <f t="shared" si="6"/>
        <v>5121.9512195121952</v>
      </c>
      <c r="E52" s="2">
        <v>5121.9512195121952</v>
      </c>
      <c r="F52" s="2">
        <f t="shared" si="2"/>
        <v>5723.4353405313204</v>
      </c>
    </row>
    <row r="53" spans="2:6" x14ac:dyDescent="0.3">
      <c r="B53" s="2">
        <v>0</v>
      </c>
      <c r="C53" s="1">
        <f t="shared" si="5"/>
        <v>0</v>
      </c>
      <c r="D53" s="1">
        <f t="shared" si="6"/>
        <v>0</v>
      </c>
      <c r="E53" s="2">
        <v>0</v>
      </c>
      <c r="F53" s="2">
        <f t="shared" si="2"/>
        <v>0</v>
      </c>
    </row>
    <row r="54" spans="2:6" x14ac:dyDescent="0.3">
      <c r="B54" s="2">
        <v>0</v>
      </c>
      <c r="C54" s="1">
        <f t="shared" si="5"/>
        <v>0</v>
      </c>
      <c r="D54" s="1">
        <f t="shared" si="6"/>
        <v>0</v>
      </c>
      <c r="E54" s="2">
        <v>0</v>
      </c>
      <c r="F54" s="2">
        <f t="shared" si="2"/>
        <v>0</v>
      </c>
    </row>
    <row r="55" spans="2:6" x14ac:dyDescent="0.3">
      <c r="B55" s="2">
        <v>263.98</v>
      </c>
      <c r="C55" s="1">
        <f t="shared" si="5"/>
        <v>0.26397999999999999</v>
      </c>
      <c r="D55" s="1">
        <f t="shared" si="6"/>
        <v>0.32192682926829269</v>
      </c>
      <c r="E55" s="2">
        <v>137</v>
      </c>
      <c r="F55" s="2">
        <f t="shared" si="2"/>
        <v>153.08826813221157</v>
      </c>
    </row>
    <row r="56" spans="2:6" x14ac:dyDescent="0.3">
      <c r="B56" s="2">
        <v>0</v>
      </c>
      <c r="C56" s="1">
        <f t="shared" si="5"/>
        <v>0</v>
      </c>
      <c r="D56" s="1">
        <f t="shared" si="6"/>
        <v>0</v>
      </c>
      <c r="E56" s="2">
        <v>0</v>
      </c>
      <c r="F56" s="2">
        <f t="shared" si="2"/>
        <v>0</v>
      </c>
    </row>
    <row r="57" spans="2:6" x14ac:dyDescent="0.3">
      <c r="B57" s="2">
        <v>0</v>
      </c>
      <c r="C57" s="1">
        <f t="shared" si="5"/>
        <v>0</v>
      </c>
      <c r="D57" s="1">
        <f t="shared" si="6"/>
        <v>0</v>
      </c>
      <c r="E57" s="2">
        <v>0</v>
      </c>
      <c r="F57" s="2">
        <f t="shared" si="2"/>
        <v>0</v>
      </c>
    </row>
    <row r="58" spans="2:6" x14ac:dyDescent="0.3">
      <c r="B58" s="2">
        <v>195806.73</v>
      </c>
      <c r="C58" s="1">
        <f t="shared" si="5"/>
        <v>195.80673000000002</v>
      </c>
      <c r="D58" s="1">
        <f t="shared" si="6"/>
        <v>238.78869512195126</v>
      </c>
      <c r="E58" s="2">
        <v>238.78869512195126</v>
      </c>
      <c r="F58" s="2">
        <f t="shared" si="2"/>
        <v>266.83027580854156</v>
      </c>
    </row>
    <row r="59" spans="2:6" x14ac:dyDescent="0.3">
      <c r="B59" s="2">
        <v>512493.36</v>
      </c>
      <c r="C59" s="1">
        <f t="shared" si="5"/>
        <v>512.49335999999994</v>
      </c>
      <c r="D59" s="1">
        <f t="shared" si="6"/>
        <v>624.99190243902433</v>
      </c>
      <c r="E59" s="2">
        <v>1027</v>
      </c>
      <c r="F59" s="2">
        <f t="shared" si="2"/>
        <v>1147.6032946845348</v>
      </c>
    </row>
    <row r="60" spans="2:6" x14ac:dyDescent="0.3">
      <c r="B60" s="2">
        <v>0</v>
      </c>
      <c r="C60" s="1">
        <f t="shared" si="5"/>
        <v>0</v>
      </c>
      <c r="D60" s="1">
        <f t="shared" si="6"/>
        <v>0</v>
      </c>
      <c r="E60" s="2">
        <v>0</v>
      </c>
      <c r="F60" s="2">
        <f t="shared" si="2"/>
        <v>0</v>
      </c>
    </row>
    <row r="61" spans="2:6" x14ac:dyDescent="0.3">
      <c r="B61" s="2">
        <v>0</v>
      </c>
      <c r="C61" s="1">
        <f t="shared" si="5"/>
        <v>0</v>
      </c>
      <c r="D61" s="1">
        <f t="shared" si="6"/>
        <v>0</v>
      </c>
      <c r="E61" s="2">
        <v>0</v>
      </c>
      <c r="F61" s="2">
        <f t="shared" si="2"/>
        <v>0</v>
      </c>
    </row>
    <row r="62" spans="2:6" x14ac:dyDescent="0.3">
      <c r="B62" s="2">
        <v>0</v>
      </c>
      <c r="C62" s="1">
        <f t="shared" si="5"/>
        <v>0</v>
      </c>
      <c r="D62" s="1">
        <f t="shared" si="6"/>
        <v>0</v>
      </c>
      <c r="E62" s="2">
        <v>0</v>
      </c>
      <c r="F62" s="2">
        <f t="shared" si="2"/>
        <v>0</v>
      </c>
    </row>
    <row r="63" spans="2:6" x14ac:dyDescent="0.3">
      <c r="B63" s="2">
        <v>173567.14</v>
      </c>
      <c r="C63" s="1">
        <f t="shared" si="5"/>
        <v>173.56714000000002</v>
      </c>
      <c r="D63" s="1">
        <f t="shared" si="6"/>
        <v>211.66724390243905</v>
      </c>
      <c r="E63" s="2">
        <v>211.66724390243905</v>
      </c>
      <c r="F63" s="2">
        <f t="shared" si="2"/>
        <v>236.5238816740351</v>
      </c>
    </row>
    <row r="64" spans="2:6" x14ac:dyDescent="0.3">
      <c r="B64" s="2">
        <v>1508707.29</v>
      </c>
      <c r="C64" s="1">
        <f t="shared" si="5"/>
        <v>1508.7072900000001</v>
      </c>
      <c r="D64" s="1">
        <f t="shared" si="6"/>
        <v>1839.8869390243904</v>
      </c>
      <c r="E64" s="2">
        <v>2200</v>
      </c>
      <c r="F64" s="2">
        <f t="shared" si="2"/>
        <v>2458.3517510282145</v>
      </c>
    </row>
    <row r="65" spans="2:6" x14ac:dyDescent="0.3">
      <c r="B65" s="2">
        <v>0</v>
      </c>
      <c r="C65" s="1">
        <f t="shared" si="5"/>
        <v>0</v>
      </c>
      <c r="D65" s="1">
        <f t="shared" si="6"/>
        <v>0</v>
      </c>
      <c r="E65" s="2">
        <v>0</v>
      </c>
      <c r="F65" s="2">
        <f t="shared" si="2"/>
        <v>0</v>
      </c>
    </row>
    <row r="66" spans="2:6" x14ac:dyDescent="0.3">
      <c r="B66" s="2">
        <v>89425.22</v>
      </c>
      <c r="C66" s="1">
        <f t="shared" si="5"/>
        <v>89.425219999999996</v>
      </c>
      <c r="D66" s="1">
        <f t="shared" si="6"/>
        <v>109.05514634146341</v>
      </c>
      <c r="E66" s="2">
        <v>113</v>
      </c>
      <c r="F66" s="2">
        <f t="shared" si="2"/>
        <v>126.26988539372194</v>
      </c>
    </row>
    <row r="67" spans="2:6" x14ac:dyDescent="0.3">
      <c r="B67" s="2">
        <v>0</v>
      </c>
      <c r="C67" s="1">
        <f t="shared" si="5"/>
        <v>0</v>
      </c>
      <c r="D67" s="1">
        <f t="shared" si="6"/>
        <v>0</v>
      </c>
      <c r="E67" s="2">
        <v>0</v>
      </c>
      <c r="F67" s="2">
        <f t="shared" si="2"/>
        <v>0</v>
      </c>
    </row>
    <row r="68" spans="2:6" x14ac:dyDescent="0.3">
      <c r="B68" s="2">
        <v>0</v>
      </c>
      <c r="C68" s="1">
        <f t="shared" si="5"/>
        <v>0</v>
      </c>
      <c r="D68" s="1">
        <f t="shared" si="6"/>
        <v>0</v>
      </c>
      <c r="E68" s="2">
        <v>0</v>
      </c>
      <c r="F68" s="2">
        <f t="shared" si="2"/>
        <v>0</v>
      </c>
    </row>
    <row r="69" spans="2:6" x14ac:dyDescent="0.3">
      <c r="B69" s="2">
        <v>0</v>
      </c>
      <c r="C69" s="1">
        <f t="shared" si="5"/>
        <v>0</v>
      </c>
      <c r="D69" s="1">
        <f t="shared" si="6"/>
        <v>0</v>
      </c>
      <c r="E69" s="2">
        <v>0</v>
      </c>
      <c r="F69" s="2">
        <f t="shared" ref="F69:F132" si="7">E69/$E$168*186000</f>
        <v>0</v>
      </c>
    </row>
    <row r="70" spans="2:6" x14ac:dyDescent="0.3">
      <c r="B70" s="2">
        <v>0</v>
      </c>
      <c r="C70" s="1">
        <f t="shared" si="5"/>
        <v>0</v>
      </c>
      <c r="D70" s="1">
        <f t="shared" si="6"/>
        <v>0</v>
      </c>
      <c r="E70" s="2">
        <v>0</v>
      </c>
      <c r="F70" s="2">
        <f t="shared" si="7"/>
        <v>0</v>
      </c>
    </row>
    <row r="71" spans="2:6" x14ac:dyDescent="0.3">
      <c r="B71" s="2">
        <v>341921.14</v>
      </c>
      <c r="C71" s="1">
        <f t="shared" si="5"/>
        <v>341.92114000000004</v>
      </c>
      <c r="D71" s="1">
        <f t="shared" si="6"/>
        <v>416.97700000000009</v>
      </c>
      <c r="E71" s="2">
        <v>416.97700000000009</v>
      </c>
      <c r="F71" s="2">
        <f t="shared" si="7"/>
        <v>465.94369913113275</v>
      </c>
    </row>
    <row r="72" spans="2:6" x14ac:dyDescent="0.3">
      <c r="B72" s="2">
        <v>0</v>
      </c>
      <c r="C72" s="1">
        <f t="shared" si="5"/>
        <v>0</v>
      </c>
      <c r="D72" s="1">
        <f t="shared" si="6"/>
        <v>0</v>
      </c>
      <c r="E72" s="2">
        <v>0</v>
      </c>
      <c r="F72" s="2">
        <f t="shared" si="7"/>
        <v>0</v>
      </c>
    </row>
    <row r="73" spans="2:6" x14ac:dyDescent="0.3">
      <c r="B73" s="2">
        <v>13722200</v>
      </c>
      <c r="C73" s="1">
        <f t="shared" si="5"/>
        <v>13722.2</v>
      </c>
      <c r="D73" s="1">
        <f t="shared" si="6"/>
        <v>16734.390243902442</v>
      </c>
      <c r="E73" s="2">
        <v>16734.390243902442</v>
      </c>
      <c r="F73" s="2">
        <f t="shared" si="7"/>
        <v>18699.553435675931</v>
      </c>
    </row>
    <row r="74" spans="2:6" x14ac:dyDescent="0.3">
      <c r="B74" s="2">
        <v>4137667.66</v>
      </c>
      <c r="C74" s="1">
        <f t="shared" si="5"/>
        <v>4137.6676600000001</v>
      </c>
      <c r="D74" s="1">
        <f t="shared" si="6"/>
        <v>5045.9361707317075</v>
      </c>
      <c r="E74" s="2">
        <v>5900</v>
      </c>
      <c r="F74" s="2">
        <f t="shared" si="7"/>
        <v>6592.8524232120308</v>
      </c>
    </row>
    <row r="75" spans="2:6" x14ac:dyDescent="0.3">
      <c r="B75" s="2">
        <v>1826568</v>
      </c>
      <c r="C75" s="1">
        <f t="shared" si="5"/>
        <v>1826.568</v>
      </c>
      <c r="D75" s="1">
        <f t="shared" si="6"/>
        <v>2227.5219512195122</v>
      </c>
      <c r="E75" s="2">
        <v>3600</v>
      </c>
      <c r="F75" s="2">
        <f t="shared" si="7"/>
        <v>4022.7574107734426</v>
      </c>
    </row>
    <row r="76" spans="2:6" x14ac:dyDescent="0.3">
      <c r="B76" s="2">
        <v>114212.4</v>
      </c>
      <c r="C76" s="1">
        <f t="shared" si="5"/>
        <v>114.21239999999999</v>
      </c>
      <c r="D76" s="1">
        <f t="shared" si="6"/>
        <v>139.28341463414634</v>
      </c>
      <c r="E76" s="2">
        <v>139.28341463414634</v>
      </c>
      <c r="F76" s="2">
        <f t="shared" si="7"/>
        <v>155.63983011592842</v>
      </c>
    </row>
    <row r="77" spans="2:6" x14ac:dyDescent="0.3">
      <c r="B77" s="2">
        <v>0</v>
      </c>
      <c r="C77" s="1">
        <f t="shared" ref="C77:C108" si="8">B77/1000</f>
        <v>0</v>
      </c>
      <c r="D77" s="1">
        <f t="shared" ref="D77:D108" si="9">C77/0.82</f>
        <v>0</v>
      </c>
      <c r="E77" s="2">
        <v>0</v>
      </c>
      <c r="F77" s="2">
        <f t="shared" si="7"/>
        <v>0</v>
      </c>
    </row>
    <row r="78" spans="2:6" x14ac:dyDescent="0.3">
      <c r="B78" s="2">
        <v>31726.43</v>
      </c>
      <c r="C78" s="1">
        <f t="shared" si="8"/>
        <v>31.726430000000001</v>
      </c>
      <c r="D78" s="1">
        <f t="shared" si="9"/>
        <v>38.690768292682932</v>
      </c>
      <c r="E78" s="2">
        <v>38.690768292682932</v>
      </c>
      <c r="F78" s="2">
        <f t="shared" si="7"/>
        <v>43.234326354974549</v>
      </c>
    </row>
    <row r="79" spans="2:6" x14ac:dyDescent="0.3">
      <c r="B79" s="2">
        <v>287388.2</v>
      </c>
      <c r="C79" s="1">
        <f t="shared" si="8"/>
        <v>287.38819999999998</v>
      </c>
      <c r="D79" s="1">
        <f t="shared" si="9"/>
        <v>350.47341463414637</v>
      </c>
      <c r="E79" s="2">
        <v>412</v>
      </c>
      <c r="F79" s="2">
        <f t="shared" si="7"/>
        <v>460.38223701073844</v>
      </c>
    </row>
    <row r="80" spans="2:6" x14ac:dyDescent="0.3">
      <c r="B80" s="2">
        <v>0</v>
      </c>
      <c r="C80" s="1">
        <f t="shared" si="8"/>
        <v>0</v>
      </c>
      <c r="D80" s="1">
        <f t="shared" si="9"/>
        <v>0</v>
      </c>
      <c r="E80" s="2">
        <v>0</v>
      </c>
      <c r="F80" s="2">
        <f t="shared" si="7"/>
        <v>0</v>
      </c>
    </row>
    <row r="81" spans="2:6" x14ac:dyDescent="0.3">
      <c r="B81" s="2">
        <v>524242.37</v>
      </c>
      <c r="C81" s="1">
        <f t="shared" si="8"/>
        <v>524.24237000000005</v>
      </c>
      <c r="D81" s="1">
        <f t="shared" si="9"/>
        <v>639.31996341463423</v>
      </c>
      <c r="E81" s="2">
        <v>784</v>
      </c>
      <c r="F81" s="2">
        <f t="shared" si="7"/>
        <v>876.06716945732751</v>
      </c>
    </row>
    <row r="82" spans="2:6" x14ac:dyDescent="0.3">
      <c r="B82" s="2">
        <v>144900</v>
      </c>
      <c r="C82" s="1">
        <f t="shared" si="8"/>
        <v>144.9</v>
      </c>
      <c r="D82" s="1">
        <f t="shared" si="9"/>
        <v>176.70731707317074</v>
      </c>
      <c r="E82" s="2">
        <v>176.70731707317074</v>
      </c>
      <c r="F82" s="2">
        <f t="shared" si="7"/>
        <v>197.45851924833053</v>
      </c>
    </row>
    <row r="83" spans="2:6" x14ac:dyDescent="0.3">
      <c r="B83" s="2">
        <v>162163.20000000001</v>
      </c>
      <c r="C83" s="1">
        <f t="shared" si="8"/>
        <v>162.16320000000002</v>
      </c>
      <c r="D83" s="1">
        <f t="shared" si="9"/>
        <v>197.76000000000002</v>
      </c>
      <c r="E83" s="2">
        <v>197.76000000000002</v>
      </c>
      <c r="F83" s="2">
        <f t="shared" si="7"/>
        <v>220.98347376515446</v>
      </c>
    </row>
    <row r="84" spans="2:6" x14ac:dyDescent="0.3">
      <c r="B84" s="2">
        <v>0</v>
      </c>
      <c r="C84" s="1">
        <f t="shared" si="8"/>
        <v>0</v>
      </c>
      <c r="D84" s="1">
        <f t="shared" si="9"/>
        <v>0</v>
      </c>
      <c r="E84" s="2">
        <v>0</v>
      </c>
      <c r="F84" s="2">
        <f t="shared" si="7"/>
        <v>0</v>
      </c>
    </row>
    <row r="85" spans="2:6" x14ac:dyDescent="0.3">
      <c r="B85" s="2">
        <v>257900</v>
      </c>
      <c r="C85" s="1">
        <f t="shared" si="8"/>
        <v>257.89999999999998</v>
      </c>
      <c r="D85" s="1">
        <f t="shared" si="9"/>
        <v>314.51219512195121</v>
      </c>
      <c r="E85" s="2">
        <v>547</v>
      </c>
      <c r="F85" s="2">
        <f t="shared" si="7"/>
        <v>611.23563991474248</v>
      </c>
    </row>
    <row r="86" spans="2:6" x14ac:dyDescent="0.3">
      <c r="B86" s="2">
        <v>0</v>
      </c>
      <c r="C86" s="1">
        <f t="shared" si="8"/>
        <v>0</v>
      </c>
      <c r="D86" s="1">
        <f t="shared" si="9"/>
        <v>0</v>
      </c>
      <c r="E86" s="2">
        <v>0</v>
      </c>
      <c r="F86" s="2">
        <f t="shared" si="7"/>
        <v>0</v>
      </c>
    </row>
    <row r="87" spans="2:6" x14ac:dyDescent="0.3">
      <c r="B87" s="2">
        <v>0</v>
      </c>
      <c r="C87" s="1">
        <f t="shared" si="8"/>
        <v>0</v>
      </c>
      <c r="D87" s="1">
        <f t="shared" si="9"/>
        <v>0</v>
      </c>
      <c r="E87" s="2">
        <v>0</v>
      </c>
      <c r="F87" s="2">
        <f t="shared" si="7"/>
        <v>0</v>
      </c>
    </row>
    <row r="88" spans="2:6" x14ac:dyDescent="0.3">
      <c r="B88" s="2">
        <v>0</v>
      </c>
      <c r="C88" s="1">
        <f t="shared" si="8"/>
        <v>0</v>
      </c>
      <c r="D88" s="1">
        <f t="shared" si="9"/>
        <v>0</v>
      </c>
      <c r="E88" s="2">
        <v>0</v>
      </c>
      <c r="F88" s="2">
        <f t="shared" si="7"/>
        <v>0</v>
      </c>
    </row>
    <row r="89" spans="2:6" x14ac:dyDescent="0.3">
      <c r="B89" s="2">
        <v>121000</v>
      </c>
      <c r="C89" s="1">
        <f t="shared" si="8"/>
        <v>121</v>
      </c>
      <c r="D89" s="1">
        <f t="shared" si="9"/>
        <v>147.5609756097561</v>
      </c>
      <c r="E89" s="2">
        <v>219</v>
      </c>
      <c r="F89" s="2">
        <f t="shared" si="7"/>
        <v>244.71774248871776</v>
      </c>
    </row>
    <row r="90" spans="2:6" x14ac:dyDescent="0.3">
      <c r="B90" s="2">
        <v>865024.56</v>
      </c>
      <c r="C90" s="1">
        <f t="shared" si="8"/>
        <v>865.02456000000006</v>
      </c>
      <c r="D90" s="1">
        <f t="shared" si="9"/>
        <v>1054.9080000000001</v>
      </c>
      <c r="E90" s="2">
        <v>1054.9080000000001</v>
      </c>
      <c r="F90" s="2">
        <f t="shared" si="7"/>
        <v>1178.7886040789419</v>
      </c>
    </row>
    <row r="91" spans="2:6" x14ac:dyDescent="0.3">
      <c r="B91" s="2">
        <v>0</v>
      </c>
      <c r="C91" s="1">
        <f t="shared" si="8"/>
        <v>0</v>
      </c>
      <c r="D91" s="1">
        <f t="shared" si="9"/>
        <v>0</v>
      </c>
      <c r="E91" s="2">
        <v>0</v>
      </c>
      <c r="F91" s="2">
        <f t="shared" si="7"/>
        <v>0</v>
      </c>
    </row>
    <row r="92" spans="2:6" x14ac:dyDescent="0.3">
      <c r="B92" s="2">
        <v>0</v>
      </c>
      <c r="C92" s="1">
        <f t="shared" si="8"/>
        <v>0</v>
      </c>
      <c r="D92" s="1">
        <f t="shared" si="9"/>
        <v>0</v>
      </c>
      <c r="E92" s="2">
        <v>0</v>
      </c>
      <c r="F92" s="2">
        <f t="shared" si="7"/>
        <v>0</v>
      </c>
    </row>
    <row r="93" spans="2:6" x14ac:dyDescent="0.3">
      <c r="B93" s="2">
        <v>0</v>
      </c>
      <c r="C93" s="1">
        <f t="shared" si="8"/>
        <v>0</v>
      </c>
      <c r="D93" s="1">
        <f t="shared" si="9"/>
        <v>0</v>
      </c>
      <c r="E93" s="2">
        <v>0</v>
      </c>
      <c r="F93" s="2">
        <f t="shared" si="7"/>
        <v>0</v>
      </c>
    </row>
    <row r="94" spans="2:6" x14ac:dyDescent="0.3">
      <c r="B94" s="2">
        <v>747900</v>
      </c>
      <c r="C94" s="1">
        <f t="shared" si="8"/>
        <v>747.9</v>
      </c>
      <c r="D94" s="1">
        <f t="shared" si="9"/>
        <v>912.07317073170736</v>
      </c>
      <c r="E94" s="2">
        <v>1300</v>
      </c>
      <c r="F94" s="2">
        <f t="shared" si="7"/>
        <v>1452.6623983348541</v>
      </c>
    </row>
    <row r="95" spans="2:6" x14ac:dyDescent="0.3">
      <c r="B95" s="2">
        <v>0</v>
      </c>
      <c r="C95" s="1">
        <f t="shared" si="8"/>
        <v>0</v>
      </c>
      <c r="D95" s="1">
        <f t="shared" si="9"/>
        <v>0</v>
      </c>
      <c r="E95" s="2">
        <v>0</v>
      </c>
      <c r="F95" s="2">
        <f t="shared" si="7"/>
        <v>0</v>
      </c>
    </row>
    <row r="96" spans="2:6" x14ac:dyDescent="0.3">
      <c r="B96" s="2">
        <v>0</v>
      </c>
      <c r="C96" s="1">
        <f t="shared" si="8"/>
        <v>0</v>
      </c>
      <c r="D96" s="1">
        <f t="shared" si="9"/>
        <v>0</v>
      </c>
      <c r="E96" s="2">
        <v>0</v>
      </c>
      <c r="F96" s="2">
        <f t="shared" si="7"/>
        <v>0</v>
      </c>
    </row>
    <row r="97" spans="2:6" x14ac:dyDescent="0.3">
      <c r="B97" s="2">
        <v>0</v>
      </c>
      <c r="C97" s="1">
        <f t="shared" si="8"/>
        <v>0</v>
      </c>
      <c r="D97" s="1">
        <f t="shared" si="9"/>
        <v>0</v>
      </c>
      <c r="E97" s="2">
        <v>0</v>
      </c>
      <c r="F97" s="2">
        <f t="shared" si="7"/>
        <v>0</v>
      </c>
    </row>
    <row r="98" spans="2:6" x14ac:dyDescent="0.3">
      <c r="B98" s="2">
        <v>0</v>
      </c>
      <c r="C98" s="1">
        <f t="shared" si="8"/>
        <v>0</v>
      </c>
      <c r="D98" s="1">
        <f t="shared" si="9"/>
        <v>0</v>
      </c>
      <c r="E98" s="2">
        <v>0</v>
      </c>
      <c r="F98" s="2">
        <f t="shared" si="7"/>
        <v>0</v>
      </c>
    </row>
    <row r="99" spans="2:6" x14ac:dyDescent="0.3">
      <c r="B99" s="2">
        <v>513400</v>
      </c>
      <c r="C99" s="1">
        <f t="shared" si="8"/>
        <v>513.4</v>
      </c>
      <c r="D99" s="1">
        <f t="shared" si="9"/>
        <v>626.09756097560978</v>
      </c>
      <c r="E99" s="2">
        <v>626.09756097560978</v>
      </c>
      <c r="F99" s="2">
        <f t="shared" si="7"/>
        <v>699.62183424494765</v>
      </c>
    </row>
    <row r="100" spans="2:6" x14ac:dyDescent="0.3">
      <c r="B100" s="2">
        <v>0</v>
      </c>
      <c r="C100" s="1">
        <f t="shared" si="8"/>
        <v>0</v>
      </c>
      <c r="D100" s="1">
        <f t="shared" si="9"/>
        <v>0</v>
      </c>
      <c r="E100" s="2">
        <v>0</v>
      </c>
      <c r="F100" s="2">
        <f t="shared" si="7"/>
        <v>0</v>
      </c>
    </row>
    <row r="101" spans="2:6" x14ac:dyDescent="0.3">
      <c r="B101" s="2">
        <v>0</v>
      </c>
      <c r="C101" s="1">
        <f t="shared" si="8"/>
        <v>0</v>
      </c>
      <c r="D101" s="1">
        <f t="shared" si="9"/>
        <v>0</v>
      </c>
      <c r="E101" s="2">
        <v>0</v>
      </c>
      <c r="F101" s="2">
        <f t="shared" si="7"/>
        <v>0</v>
      </c>
    </row>
    <row r="102" spans="2:6" x14ac:dyDescent="0.3">
      <c r="B102" s="2">
        <v>1135100</v>
      </c>
      <c r="C102" s="1">
        <f t="shared" si="8"/>
        <v>1135.0999999999999</v>
      </c>
      <c r="D102" s="1">
        <f t="shared" si="9"/>
        <v>1384.2682926829268</v>
      </c>
      <c r="E102" s="2">
        <v>1384.2682926829268</v>
      </c>
      <c r="F102" s="2">
        <f t="shared" si="7"/>
        <v>1546.8265369135956</v>
      </c>
    </row>
    <row r="103" spans="2:6" x14ac:dyDescent="0.3">
      <c r="B103" s="2">
        <v>0</v>
      </c>
      <c r="C103" s="1">
        <f t="shared" si="8"/>
        <v>0</v>
      </c>
      <c r="D103" s="1">
        <f t="shared" si="9"/>
        <v>0</v>
      </c>
      <c r="E103" s="2">
        <v>0</v>
      </c>
      <c r="F103" s="2">
        <f t="shared" si="7"/>
        <v>0</v>
      </c>
    </row>
    <row r="104" spans="2:6" x14ac:dyDescent="0.3">
      <c r="B104" s="2">
        <v>57678.94</v>
      </c>
      <c r="C104" s="1">
        <f t="shared" si="8"/>
        <v>57.678940000000004</v>
      </c>
      <c r="D104" s="1">
        <f t="shared" si="9"/>
        <v>70.340170731707332</v>
      </c>
      <c r="E104" s="2">
        <v>70.340170731707332</v>
      </c>
      <c r="F104" s="2">
        <f t="shared" si="7"/>
        <v>78.600400857234675</v>
      </c>
    </row>
    <row r="105" spans="2:6" x14ac:dyDescent="0.3">
      <c r="B105" s="2">
        <v>0</v>
      </c>
      <c r="C105" s="1">
        <f t="shared" si="8"/>
        <v>0</v>
      </c>
      <c r="D105" s="1">
        <f t="shared" si="9"/>
        <v>0</v>
      </c>
      <c r="E105" s="2">
        <v>0</v>
      </c>
      <c r="F105" s="2">
        <f t="shared" si="7"/>
        <v>0</v>
      </c>
    </row>
    <row r="106" spans="2:6" x14ac:dyDescent="0.3">
      <c r="B106" s="2">
        <v>0</v>
      </c>
      <c r="C106" s="1">
        <f t="shared" si="8"/>
        <v>0</v>
      </c>
      <c r="D106" s="1">
        <f t="shared" si="9"/>
        <v>0</v>
      </c>
      <c r="E106" s="2">
        <v>0</v>
      </c>
      <c r="F106" s="2">
        <f t="shared" si="7"/>
        <v>0</v>
      </c>
    </row>
    <row r="107" spans="2:6" x14ac:dyDescent="0.3">
      <c r="B107" s="2">
        <v>0</v>
      </c>
      <c r="C107" s="1">
        <f t="shared" si="8"/>
        <v>0</v>
      </c>
      <c r="D107" s="1">
        <f t="shared" si="9"/>
        <v>0</v>
      </c>
      <c r="E107" s="2">
        <v>0</v>
      </c>
      <c r="F107" s="2">
        <f t="shared" si="7"/>
        <v>0</v>
      </c>
    </row>
    <row r="108" spans="2:6" x14ac:dyDescent="0.3">
      <c r="B108" s="2">
        <v>1553000</v>
      </c>
      <c r="C108" s="1">
        <f t="shared" si="8"/>
        <v>1553</v>
      </c>
      <c r="D108" s="1">
        <f t="shared" si="9"/>
        <v>1893.9024390243903</v>
      </c>
      <c r="E108" s="2">
        <v>2094</v>
      </c>
      <c r="F108" s="2">
        <f t="shared" si="7"/>
        <v>2339.903893933219</v>
      </c>
    </row>
    <row r="109" spans="2:6" x14ac:dyDescent="0.3">
      <c r="B109" s="2">
        <v>0</v>
      </c>
      <c r="C109" s="1">
        <f t="shared" ref="C109:C140" si="10">B109/1000</f>
        <v>0</v>
      </c>
      <c r="D109" s="1">
        <f t="shared" ref="D109:D140" si="11">C109/0.82</f>
        <v>0</v>
      </c>
      <c r="E109" s="2">
        <v>0</v>
      </c>
      <c r="F109" s="2">
        <f t="shared" si="7"/>
        <v>0</v>
      </c>
    </row>
    <row r="110" spans="2:6" x14ac:dyDescent="0.3">
      <c r="B110" s="2">
        <v>104000</v>
      </c>
      <c r="C110" s="1">
        <f t="shared" si="10"/>
        <v>104</v>
      </c>
      <c r="D110" s="1">
        <f t="shared" si="11"/>
        <v>126.82926829268294</v>
      </c>
      <c r="E110" s="2">
        <v>400</v>
      </c>
      <c r="F110" s="2">
        <f t="shared" si="7"/>
        <v>446.97304564149357</v>
      </c>
    </row>
    <row r="111" spans="2:6" x14ac:dyDescent="0.3">
      <c r="B111" s="2">
        <v>0</v>
      </c>
      <c r="C111" s="1">
        <f t="shared" si="10"/>
        <v>0</v>
      </c>
      <c r="D111" s="1">
        <f t="shared" si="11"/>
        <v>0</v>
      </c>
      <c r="E111" s="2">
        <v>0</v>
      </c>
      <c r="F111" s="2">
        <f t="shared" si="7"/>
        <v>0</v>
      </c>
    </row>
    <row r="112" spans="2:6" x14ac:dyDescent="0.3">
      <c r="B112" s="2">
        <v>0</v>
      </c>
      <c r="C112" s="1">
        <f t="shared" si="10"/>
        <v>0</v>
      </c>
      <c r="D112" s="1">
        <f t="shared" si="11"/>
        <v>0</v>
      </c>
      <c r="E112" s="2">
        <v>0</v>
      </c>
      <c r="F112" s="2">
        <f t="shared" si="7"/>
        <v>0</v>
      </c>
    </row>
    <row r="113" spans="2:6" x14ac:dyDescent="0.3">
      <c r="B113" s="2">
        <v>724300</v>
      </c>
      <c r="C113" s="1">
        <f t="shared" si="10"/>
        <v>724.3</v>
      </c>
      <c r="D113" s="1">
        <f t="shared" si="11"/>
        <v>883.29268292682923</v>
      </c>
      <c r="E113" s="2">
        <v>883.29268292682923</v>
      </c>
      <c r="F113" s="2">
        <f t="shared" si="7"/>
        <v>987.02005170162749</v>
      </c>
    </row>
    <row r="114" spans="2:6" x14ac:dyDescent="0.3">
      <c r="B114" s="2">
        <v>0</v>
      </c>
      <c r="C114" s="1">
        <f t="shared" si="10"/>
        <v>0</v>
      </c>
      <c r="D114" s="1">
        <f t="shared" si="11"/>
        <v>0</v>
      </c>
      <c r="E114" s="2">
        <v>0</v>
      </c>
      <c r="F114" s="2">
        <f t="shared" si="7"/>
        <v>0</v>
      </c>
    </row>
    <row r="115" spans="2:6" x14ac:dyDescent="0.3">
      <c r="B115" s="2">
        <v>615440.31000000006</v>
      </c>
      <c r="C115" s="1">
        <f t="shared" si="10"/>
        <v>615.44031000000007</v>
      </c>
      <c r="D115" s="1">
        <f t="shared" si="11"/>
        <v>750.53696341463433</v>
      </c>
      <c r="E115" s="2">
        <v>750.53696341463433</v>
      </c>
      <c r="F115" s="2">
        <f t="shared" si="7"/>
        <v>838.67448100989338</v>
      </c>
    </row>
    <row r="116" spans="2:6" x14ac:dyDescent="0.3">
      <c r="B116" s="2">
        <v>1603837.27</v>
      </c>
      <c r="C116" s="1">
        <f t="shared" si="10"/>
        <v>1603.83727</v>
      </c>
      <c r="D116" s="1">
        <f t="shared" si="11"/>
        <v>1955.8991097560977</v>
      </c>
      <c r="E116" s="2">
        <v>1955.8991097560977</v>
      </c>
      <c r="F116" s="2">
        <f t="shared" si="7"/>
        <v>2185.5854551379225</v>
      </c>
    </row>
    <row r="117" spans="2:6" x14ac:dyDescent="0.3">
      <c r="B117" s="2">
        <v>3208561</v>
      </c>
      <c r="C117" s="1">
        <f t="shared" si="10"/>
        <v>3208.5610000000001</v>
      </c>
      <c r="D117" s="1">
        <f t="shared" si="11"/>
        <v>3912.8792682926833</v>
      </c>
      <c r="E117" s="2">
        <v>3912.8792682926833</v>
      </c>
      <c r="F117" s="2">
        <f t="shared" si="7"/>
        <v>4372.3789094405993</v>
      </c>
    </row>
    <row r="118" spans="2:6" x14ac:dyDescent="0.3">
      <c r="B118" s="2">
        <v>0</v>
      </c>
      <c r="C118" s="1">
        <f t="shared" si="10"/>
        <v>0</v>
      </c>
      <c r="D118" s="1">
        <f t="shared" si="11"/>
        <v>0</v>
      </c>
      <c r="E118" s="2">
        <v>0</v>
      </c>
      <c r="F118" s="2">
        <f t="shared" si="7"/>
        <v>0</v>
      </c>
    </row>
    <row r="119" spans="2:6" x14ac:dyDescent="0.3">
      <c r="B119" s="2">
        <v>0</v>
      </c>
      <c r="C119" s="1">
        <f t="shared" si="10"/>
        <v>0</v>
      </c>
      <c r="D119" s="1">
        <f t="shared" si="11"/>
        <v>0</v>
      </c>
      <c r="E119" s="2">
        <v>0</v>
      </c>
      <c r="F119" s="2">
        <f t="shared" si="7"/>
        <v>0</v>
      </c>
    </row>
    <row r="120" spans="2:6" x14ac:dyDescent="0.3">
      <c r="B120" s="2">
        <v>0</v>
      </c>
      <c r="C120" s="1">
        <f t="shared" si="10"/>
        <v>0</v>
      </c>
      <c r="D120" s="1">
        <f t="shared" si="11"/>
        <v>0</v>
      </c>
      <c r="E120" s="2">
        <v>0</v>
      </c>
      <c r="F120" s="2">
        <f t="shared" si="7"/>
        <v>0</v>
      </c>
    </row>
    <row r="121" spans="2:6" x14ac:dyDescent="0.3">
      <c r="B121" s="2">
        <v>0</v>
      </c>
      <c r="C121" s="1">
        <f t="shared" si="10"/>
        <v>0</v>
      </c>
      <c r="D121" s="1">
        <f t="shared" si="11"/>
        <v>0</v>
      </c>
      <c r="E121" s="2">
        <v>0</v>
      </c>
      <c r="F121" s="2">
        <f t="shared" si="7"/>
        <v>0</v>
      </c>
    </row>
    <row r="122" spans="2:6" x14ac:dyDescent="0.3">
      <c r="B122" s="2">
        <v>26461.23</v>
      </c>
      <c r="C122" s="1">
        <f t="shared" si="10"/>
        <v>26.46123</v>
      </c>
      <c r="D122" s="1">
        <f t="shared" si="11"/>
        <v>32.269792682926834</v>
      </c>
      <c r="E122" s="2">
        <v>32.269792682926834</v>
      </c>
      <c r="F122" s="2">
        <f t="shared" si="7"/>
        <v>36.059318794268478</v>
      </c>
    </row>
    <row r="123" spans="2:6" x14ac:dyDescent="0.3">
      <c r="B123" s="2">
        <v>2005306</v>
      </c>
      <c r="C123" s="1">
        <f t="shared" si="10"/>
        <v>2005.306</v>
      </c>
      <c r="D123" s="1">
        <f t="shared" si="11"/>
        <v>2445.4951219512195</v>
      </c>
      <c r="E123" s="2">
        <v>2445.4951219512195</v>
      </c>
      <c r="F123" s="2">
        <f t="shared" si="7"/>
        <v>2732.676006899881</v>
      </c>
    </row>
    <row r="124" spans="2:6" x14ac:dyDescent="0.3">
      <c r="B124" s="2">
        <v>70024.679999999993</v>
      </c>
      <c r="C124" s="1">
        <f t="shared" si="10"/>
        <v>70.024679999999989</v>
      </c>
      <c r="D124" s="1">
        <f t="shared" si="11"/>
        <v>85.395951219512185</v>
      </c>
      <c r="E124" s="2">
        <v>85.395951219512185</v>
      </c>
      <c r="F124" s="2">
        <f t="shared" si="7"/>
        <v>95.424221005094438</v>
      </c>
    </row>
    <row r="125" spans="2:6" x14ac:dyDescent="0.3">
      <c r="B125" s="2">
        <v>2937100</v>
      </c>
      <c r="C125" s="1">
        <f t="shared" si="10"/>
        <v>2937.1</v>
      </c>
      <c r="D125" s="1">
        <f t="shared" si="11"/>
        <v>3581.8292682926831</v>
      </c>
      <c r="E125" s="2">
        <v>3581.8292682926831</v>
      </c>
      <c r="F125" s="2">
        <f t="shared" si="7"/>
        <v>4002.4528425415574</v>
      </c>
    </row>
    <row r="126" spans="2:6" x14ac:dyDescent="0.3">
      <c r="B126" s="2">
        <v>404045</v>
      </c>
      <c r="C126" s="1">
        <f t="shared" si="10"/>
        <v>404.04500000000002</v>
      </c>
      <c r="D126" s="1">
        <f t="shared" si="11"/>
        <v>492.73780487804885</v>
      </c>
      <c r="E126" s="2">
        <v>492.73780487804885</v>
      </c>
      <c r="F126" s="2">
        <f t="shared" si="7"/>
        <v>550.60129337261367</v>
      </c>
    </row>
    <row r="127" spans="2:6" x14ac:dyDescent="0.3">
      <c r="B127" s="2">
        <v>0</v>
      </c>
      <c r="C127" s="1">
        <f t="shared" si="10"/>
        <v>0</v>
      </c>
      <c r="D127" s="1">
        <f t="shared" si="11"/>
        <v>0</v>
      </c>
      <c r="E127" s="2">
        <v>0</v>
      </c>
      <c r="F127" s="2">
        <f t="shared" si="7"/>
        <v>0</v>
      </c>
    </row>
    <row r="128" spans="2:6" x14ac:dyDescent="0.3">
      <c r="B128" s="2">
        <v>802335</v>
      </c>
      <c r="C128" s="1">
        <f t="shared" si="10"/>
        <v>802.33500000000004</v>
      </c>
      <c r="D128" s="1">
        <f t="shared" si="11"/>
        <v>978.45731707317088</v>
      </c>
      <c r="E128" s="2">
        <v>1495</v>
      </c>
      <c r="F128" s="2">
        <f t="shared" si="7"/>
        <v>1670.5617580850824</v>
      </c>
    </row>
    <row r="129" spans="2:6" x14ac:dyDescent="0.3">
      <c r="B129" s="2">
        <v>10913200</v>
      </c>
      <c r="C129" s="1">
        <f t="shared" si="10"/>
        <v>10913.2</v>
      </c>
      <c r="D129" s="1">
        <f t="shared" si="11"/>
        <v>13308.780487804879</v>
      </c>
      <c r="E129" s="2">
        <v>16000</v>
      </c>
      <c r="F129" s="2">
        <f t="shared" si="7"/>
        <v>17878.921825659745</v>
      </c>
    </row>
    <row r="130" spans="2:6" x14ac:dyDescent="0.3">
      <c r="B130" s="2">
        <v>0</v>
      </c>
      <c r="C130" s="1">
        <f t="shared" si="10"/>
        <v>0</v>
      </c>
      <c r="D130" s="1">
        <f t="shared" si="11"/>
        <v>0</v>
      </c>
      <c r="E130" s="2">
        <v>0</v>
      </c>
      <c r="F130" s="2">
        <f t="shared" si="7"/>
        <v>0</v>
      </c>
    </row>
    <row r="131" spans="2:6" x14ac:dyDescent="0.3">
      <c r="B131" s="2">
        <v>0</v>
      </c>
      <c r="C131" s="1">
        <f t="shared" si="10"/>
        <v>0</v>
      </c>
      <c r="D131" s="1">
        <f t="shared" si="11"/>
        <v>0</v>
      </c>
      <c r="E131" s="2">
        <v>0</v>
      </c>
      <c r="F131" s="2">
        <f t="shared" si="7"/>
        <v>0</v>
      </c>
    </row>
    <row r="132" spans="2:6" x14ac:dyDescent="0.3">
      <c r="B132" s="2">
        <v>0</v>
      </c>
      <c r="C132" s="1">
        <f t="shared" si="10"/>
        <v>0</v>
      </c>
      <c r="D132" s="1">
        <f t="shared" si="11"/>
        <v>0</v>
      </c>
      <c r="E132" s="2">
        <v>0</v>
      </c>
      <c r="F132" s="2">
        <f t="shared" si="7"/>
        <v>0</v>
      </c>
    </row>
    <row r="133" spans="2:6" x14ac:dyDescent="0.3">
      <c r="B133" s="2">
        <v>0</v>
      </c>
      <c r="C133" s="1">
        <f t="shared" si="10"/>
        <v>0</v>
      </c>
      <c r="D133" s="1">
        <f t="shared" si="11"/>
        <v>0</v>
      </c>
      <c r="E133" s="2">
        <v>0</v>
      </c>
      <c r="F133" s="2">
        <f t="shared" ref="F133:F167" si="12">E133/$E$168*186000</f>
        <v>0</v>
      </c>
    </row>
    <row r="134" spans="2:6" x14ac:dyDescent="0.3">
      <c r="B134" s="2">
        <v>2760800</v>
      </c>
      <c r="C134" s="1">
        <f t="shared" si="10"/>
        <v>2760.8</v>
      </c>
      <c r="D134" s="1">
        <f t="shared" si="11"/>
        <v>3366.8292682926835</v>
      </c>
      <c r="E134" s="2">
        <v>4300</v>
      </c>
      <c r="F134" s="2">
        <f t="shared" si="12"/>
        <v>4804.9602406460563</v>
      </c>
    </row>
    <row r="135" spans="2:6" x14ac:dyDescent="0.3">
      <c r="B135" s="2">
        <v>18929.560000000001</v>
      </c>
      <c r="C135" s="1">
        <f t="shared" si="10"/>
        <v>18.929560000000002</v>
      </c>
      <c r="D135" s="1">
        <f t="shared" si="11"/>
        <v>23.084829268292687</v>
      </c>
      <c r="E135" s="2">
        <v>23.084829268292687</v>
      </c>
      <c r="F135" s="2">
        <f t="shared" si="12"/>
        <v>25.795741115406688</v>
      </c>
    </row>
    <row r="136" spans="2:6" x14ac:dyDescent="0.3">
      <c r="B136" s="2">
        <v>82039.960000000006</v>
      </c>
      <c r="C136" s="1">
        <f t="shared" si="10"/>
        <v>82.039960000000008</v>
      </c>
      <c r="D136" s="1">
        <f t="shared" si="11"/>
        <v>100.04873170731709</v>
      </c>
      <c r="E136" s="2">
        <v>100.04873170731709</v>
      </c>
      <c r="F136" s="2">
        <f t="shared" si="12"/>
        <v>111.79771580947046</v>
      </c>
    </row>
    <row r="137" spans="2:6" x14ac:dyDescent="0.3">
      <c r="B137" s="2">
        <v>0</v>
      </c>
      <c r="C137" s="1">
        <f t="shared" si="10"/>
        <v>0</v>
      </c>
      <c r="D137" s="1">
        <f t="shared" si="11"/>
        <v>0</v>
      </c>
      <c r="E137" s="2">
        <v>0</v>
      </c>
      <c r="F137" s="2">
        <f t="shared" si="12"/>
        <v>0</v>
      </c>
    </row>
    <row r="138" spans="2:6" x14ac:dyDescent="0.3">
      <c r="B138" s="2">
        <v>310934.89</v>
      </c>
      <c r="C138" s="1">
        <f t="shared" si="10"/>
        <v>310.93489</v>
      </c>
      <c r="D138" s="1">
        <f t="shared" si="11"/>
        <v>379.18889024390245</v>
      </c>
      <c r="E138" s="2">
        <v>379.18889024390245</v>
      </c>
      <c r="F138" s="2">
        <f t="shared" si="12"/>
        <v>423.71803286433777</v>
      </c>
    </row>
    <row r="139" spans="2:6" x14ac:dyDescent="0.3">
      <c r="B139" s="2">
        <v>0</v>
      </c>
      <c r="C139" s="1">
        <f t="shared" si="10"/>
        <v>0</v>
      </c>
      <c r="D139" s="1">
        <f t="shared" si="11"/>
        <v>0</v>
      </c>
      <c r="E139" s="2">
        <v>0</v>
      </c>
      <c r="F139" s="2">
        <f t="shared" si="12"/>
        <v>0</v>
      </c>
    </row>
    <row r="140" spans="2:6" x14ac:dyDescent="0.3">
      <c r="B140" s="2">
        <v>164300</v>
      </c>
      <c r="C140" s="1">
        <f t="shared" si="10"/>
        <v>164.3</v>
      </c>
      <c r="D140" s="1">
        <f t="shared" si="11"/>
        <v>200.36585365853662</v>
      </c>
      <c r="E140" s="2">
        <v>200.36585365853662</v>
      </c>
      <c r="F140" s="2">
        <f t="shared" si="12"/>
        <v>223.89533963078478</v>
      </c>
    </row>
    <row r="141" spans="2:6" x14ac:dyDescent="0.3">
      <c r="B141" s="2">
        <v>754689</v>
      </c>
      <c r="C141" s="1">
        <f t="shared" ref="C141:C167" si="13">B141/1000</f>
        <v>754.68899999999996</v>
      </c>
      <c r="D141" s="1">
        <f t="shared" ref="D141:D167" si="14">C141/0.82</f>
        <v>920.35243902439026</v>
      </c>
      <c r="E141" s="2">
        <v>920.35243902439026</v>
      </c>
      <c r="F141" s="2">
        <f t="shared" si="12"/>
        <v>1028.4318318357718</v>
      </c>
    </row>
    <row r="142" spans="2:6" x14ac:dyDescent="0.3">
      <c r="B142" s="2">
        <v>0</v>
      </c>
      <c r="C142" s="1">
        <f t="shared" si="13"/>
        <v>0</v>
      </c>
      <c r="D142" s="1">
        <f t="shared" si="14"/>
        <v>0</v>
      </c>
      <c r="E142" s="2">
        <v>0</v>
      </c>
      <c r="F142" s="2">
        <f t="shared" si="12"/>
        <v>0</v>
      </c>
    </row>
    <row r="143" spans="2:6" x14ac:dyDescent="0.3">
      <c r="B143" s="2">
        <v>0</v>
      </c>
      <c r="C143" s="1">
        <f t="shared" si="13"/>
        <v>0</v>
      </c>
      <c r="D143" s="1">
        <f t="shared" si="14"/>
        <v>0</v>
      </c>
      <c r="E143" s="2">
        <v>0</v>
      </c>
      <c r="F143" s="2">
        <f t="shared" si="12"/>
        <v>0</v>
      </c>
    </row>
    <row r="144" spans="2:6" x14ac:dyDescent="0.3">
      <c r="B144" s="2">
        <v>0</v>
      </c>
      <c r="C144" s="1">
        <f t="shared" si="13"/>
        <v>0</v>
      </c>
      <c r="D144" s="1">
        <f t="shared" si="14"/>
        <v>0</v>
      </c>
      <c r="E144" s="2">
        <v>0</v>
      </c>
      <c r="F144" s="2">
        <f t="shared" si="12"/>
        <v>0</v>
      </c>
    </row>
    <row r="145" spans="2:6" x14ac:dyDescent="0.3">
      <c r="B145" s="2">
        <v>0</v>
      </c>
      <c r="C145" s="1">
        <f t="shared" si="13"/>
        <v>0</v>
      </c>
      <c r="D145" s="1">
        <f t="shared" si="14"/>
        <v>0</v>
      </c>
      <c r="E145" s="2">
        <v>0</v>
      </c>
      <c r="F145" s="2">
        <f t="shared" si="12"/>
        <v>0</v>
      </c>
    </row>
    <row r="146" spans="2:6" x14ac:dyDescent="0.3">
      <c r="B146" s="2">
        <v>0</v>
      </c>
      <c r="C146" s="1">
        <f t="shared" si="13"/>
        <v>0</v>
      </c>
      <c r="D146" s="1">
        <f t="shared" si="14"/>
        <v>0</v>
      </c>
      <c r="E146" s="2">
        <v>0</v>
      </c>
      <c r="F146" s="2">
        <f t="shared" si="12"/>
        <v>0</v>
      </c>
    </row>
    <row r="147" spans="2:6" x14ac:dyDescent="0.3">
      <c r="B147" s="2">
        <v>0</v>
      </c>
      <c r="C147" s="1">
        <f t="shared" si="13"/>
        <v>0</v>
      </c>
      <c r="D147" s="1">
        <f t="shared" si="14"/>
        <v>0</v>
      </c>
      <c r="E147" s="2">
        <v>0</v>
      </c>
      <c r="F147" s="2">
        <f t="shared" si="12"/>
        <v>0</v>
      </c>
    </row>
    <row r="148" spans="2:6" x14ac:dyDescent="0.3">
      <c r="B148" s="2">
        <v>0</v>
      </c>
      <c r="C148" s="1">
        <f t="shared" si="13"/>
        <v>0</v>
      </c>
      <c r="D148" s="1">
        <f t="shared" si="14"/>
        <v>0</v>
      </c>
      <c r="E148" s="2">
        <v>0</v>
      </c>
      <c r="F148" s="2">
        <f t="shared" si="12"/>
        <v>0</v>
      </c>
    </row>
    <row r="149" spans="2:6" x14ac:dyDescent="0.3">
      <c r="B149" s="2">
        <v>138600</v>
      </c>
      <c r="C149" s="1">
        <f t="shared" si="13"/>
        <v>138.6</v>
      </c>
      <c r="D149" s="1">
        <f t="shared" si="14"/>
        <v>169.02439024390245</v>
      </c>
      <c r="E149" s="2">
        <v>169.02439024390245</v>
      </c>
      <c r="F149" s="2">
        <f t="shared" si="12"/>
        <v>188.87336623753359</v>
      </c>
    </row>
    <row r="150" spans="2:6" x14ac:dyDescent="0.3">
      <c r="B150" s="2">
        <v>0</v>
      </c>
      <c r="C150" s="1">
        <f t="shared" si="13"/>
        <v>0</v>
      </c>
      <c r="D150" s="1">
        <f t="shared" si="14"/>
        <v>0</v>
      </c>
      <c r="E150" s="2">
        <v>0</v>
      </c>
      <c r="F150" s="2">
        <f t="shared" si="12"/>
        <v>0</v>
      </c>
    </row>
    <row r="151" spans="2:6" x14ac:dyDescent="0.3">
      <c r="B151" s="2">
        <v>0</v>
      </c>
      <c r="C151" s="1">
        <f t="shared" si="13"/>
        <v>0</v>
      </c>
      <c r="D151" s="1">
        <f t="shared" si="14"/>
        <v>0</v>
      </c>
      <c r="E151" s="2">
        <v>0</v>
      </c>
      <c r="F151" s="2">
        <f t="shared" si="12"/>
        <v>0</v>
      </c>
    </row>
    <row r="152" spans="2:6" x14ac:dyDescent="0.3">
      <c r="B152" s="2">
        <v>746934.04</v>
      </c>
      <c r="C152" s="1">
        <f t="shared" si="13"/>
        <v>746.93403999999998</v>
      </c>
      <c r="D152" s="1">
        <f t="shared" si="14"/>
        <v>910.89517073170737</v>
      </c>
      <c r="E152" s="2">
        <v>4200</v>
      </c>
      <c r="F152" s="2">
        <f t="shared" si="12"/>
        <v>4693.2169792356826</v>
      </c>
    </row>
    <row r="153" spans="2:6" x14ac:dyDescent="0.3">
      <c r="B153" s="2">
        <v>138621.26</v>
      </c>
      <c r="C153" s="1">
        <f t="shared" si="13"/>
        <v>138.62126000000001</v>
      </c>
      <c r="D153" s="1">
        <f t="shared" si="14"/>
        <v>169.05031707317076</v>
      </c>
      <c r="E153" s="2">
        <v>169.05031707317076</v>
      </c>
      <c r="F153" s="2">
        <f t="shared" si="12"/>
        <v>188.9023377221383</v>
      </c>
    </row>
    <row r="154" spans="2:6" x14ac:dyDescent="0.3">
      <c r="B154" s="2">
        <v>1143689</v>
      </c>
      <c r="C154" s="1">
        <f t="shared" si="13"/>
        <v>1143.6890000000001</v>
      </c>
      <c r="D154" s="1">
        <f t="shared" si="14"/>
        <v>1394.7426829268295</v>
      </c>
      <c r="E154" s="2">
        <v>1394.7426829268295</v>
      </c>
      <c r="F154" s="2">
        <f t="shared" si="12"/>
        <v>1558.5309621849824</v>
      </c>
    </row>
    <row r="155" spans="2:6" x14ac:dyDescent="0.3">
      <c r="B155" s="2">
        <v>0</v>
      </c>
      <c r="C155" s="1">
        <f t="shared" si="13"/>
        <v>0</v>
      </c>
      <c r="D155" s="1">
        <f t="shared" si="14"/>
        <v>0</v>
      </c>
      <c r="E155" s="2">
        <v>0</v>
      </c>
      <c r="F155" s="2">
        <f t="shared" si="12"/>
        <v>0</v>
      </c>
    </row>
    <row r="156" spans="2:6" x14ac:dyDescent="0.3">
      <c r="B156" s="2">
        <v>983471.5</v>
      </c>
      <c r="C156" s="1">
        <f t="shared" si="13"/>
        <v>983.47149999999999</v>
      </c>
      <c r="D156" s="1">
        <f t="shared" si="14"/>
        <v>1199.3554878048781</v>
      </c>
      <c r="E156" s="2">
        <v>2300</v>
      </c>
      <c r="F156" s="2">
        <f t="shared" si="12"/>
        <v>2570.0950124385881</v>
      </c>
    </row>
    <row r="157" spans="2:6" x14ac:dyDescent="0.3">
      <c r="B157" s="2">
        <v>933160</v>
      </c>
      <c r="C157" s="1">
        <f t="shared" si="13"/>
        <v>933.16</v>
      </c>
      <c r="D157" s="1">
        <f t="shared" si="14"/>
        <v>1138</v>
      </c>
      <c r="E157" s="2">
        <v>1138</v>
      </c>
      <c r="F157" s="2">
        <f t="shared" si="12"/>
        <v>1271.6383148500493</v>
      </c>
    </row>
    <row r="158" spans="2:6" x14ac:dyDescent="0.3">
      <c r="B158" s="2">
        <v>290500</v>
      </c>
      <c r="C158" s="1">
        <f t="shared" si="13"/>
        <v>290.5</v>
      </c>
      <c r="D158" s="1">
        <f t="shared" si="14"/>
        <v>354.26829268292687</v>
      </c>
      <c r="E158" s="2">
        <v>756</v>
      </c>
      <c r="F158" s="2">
        <f t="shared" si="12"/>
        <v>844.77905626242296</v>
      </c>
    </row>
    <row r="159" spans="2:6" x14ac:dyDescent="0.3">
      <c r="B159" s="2">
        <v>0</v>
      </c>
      <c r="C159" s="1">
        <f t="shared" si="13"/>
        <v>0</v>
      </c>
      <c r="D159" s="1">
        <f t="shared" si="14"/>
        <v>0</v>
      </c>
      <c r="E159" s="2">
        <v>0</v>
      </c>
      <c r="F159" s="2">
        <f t="shared" si="12"/>
        <v>0</v>
      </c>
    </row>
    <row r="160" spans="2:6" x14ac:dyDescent="0.3">
      <c r="B160" s="2">
        <v>13261506.630000001</v>
      </c>
      <c r="C160" s="1">
        <f t="shared" si="13"/>
        <v>13261.506630000002</v>
      </c>
      <c r="D160" s="1">
        <f t="shared" si="14"/>
        <v>16172.569060975613</v>
      </c>
      <c r="E160" s="2">
        <v>16172.569060975613</v>
      </c>
      <c r="F160" s="2">
        <f t="shared" si="12"/>
        <v>18071.756122579147</v>
      </c>
    </row>
    <row r="161" spans="2:6" x14ac:dyDescent="0.3">
      <c r="B161" s="2">
        <v>0</v>
      </c>
      <c r="C161" s="1">
        <f t="shared" si="13"/>
        <v>0</v>
      </c>
      <c r="D161" s="1">
        <f t="shared" si="14"/>
        <v>0</v>
      </c>
      <c r="E161" s="2">
        <v>0</v>
      </c>
      <c r="F161" s="2">
        <f t="shared" si="12"/>
        <v>0</v>
      </c>
    </row>
    <row r="162" spans="2:6" x14ac:dyDescent="0.3">
      <c r="B162" s="2">
        <v>898303</v>
      </c>
      <c r="C162" s="1">
        <f t="shared" si="13"/>
        <v>898.303</v>
      </c>
      <c r="D162" s="1">
        <f t="shared" si="14"/>
        <v>1095.4914634146342</v>
      </c>
      <c r="E162" s="2">
        <v>1095.4914634146342</v>
      </c>
      <c r="F162" s="2">
        <f t="shared" si="12"/>
        <v>1224.1378896917397</v>
      </c>
    </row>
    <row r="163" spans="2:6" x14ac:dyDescent="0.3">
      <c r="B163" s="2">
        <v>198300</v>
      </c>
      <c r="C163" s="1">
        <f t="shared" si="13"/>
        <v>198.3</v>
      </c>
      <c r="D163" s="1">
        <f t="shared" si="14"/>
        <v>241.82926829268297</v>
      </c>
      <c r="E163" s="2">
        <v>241.82926829268297</v>
      </c>
      <c r="F163" s="2">
        <f t="shared" si="12"/>
        <v>270.22791143508596</v>
      </c>
    </row>
    <row r="164" spans="2:6" x14ac:dyDescent="0.3">
      <c r="B164" s="2">
        <v>1099609.8400000001</v>
      </c>
      <c r="C164" s="1">
        <f t="shared" si="13"/>
        <v>1099.6098400000001</v>
      </c>
      <c r="D164" s="1">
        <f t="shared" si="14"/>
        <v>1340.9876097560978</v>
      </c>
      <c r="E164" s="2">
        <v>1340.9876097560978</v>
      </c>
      <c r="F164" s="2">
        <f t="shared" si="12"/>
        <v>1498.4632902504743</v>
      </c>
    </row>
    <row r="165" spans="2:6" x14ac:dyDescent="0.3">
      <c r="B165" s="2">
        <v>0</v>
      </c>
      <c r="C165" s="1">
        <f t="shared" si="13"/>
        <v>0</v>
      </c>
      <c r="D165" s="1">
        <f t="shared" si="14"/>
        <v>0</v>
      </c>
      <c r="E165" s="2">
        <v>0</v>
      </c>
      <c r="F165" s="2">
        <f t="shared" si="12"/>
        <v>0</v>
      </c>
    </row>
    <row r="166" spans="2:6" x14ac:dyDescent="0.3">
      <c r="B166" s="2">
        <v>0</v>
      </c>
      <c r="C166" s="1">
        <f t="shared" si="13"/>
        <v>0</v>
      </c>
      <c r="D166" s="1">
        <f t="shared" si="14"/>
        <v>0</v>
      </c>
      <c r="E166" s="2">
        <v>0</v>
      </c>
      <c r="F166" s="2">
        <f t="shared" si="12"/>
        <v>0</v>
      </c>
    </row>
    <row r="167" spans="2:6" x14ac:dyDescent="0.3">
      <c r="B167" s="2">
        <v>13200</v>
      </c>
      <c r="C167" s="1">
        <f t="shared" si="13"/>
        <v>13.2</v>
      </c>
      <c r="D167" s="1">
        <f t="shared" si="14"/>
        <v>16.097560975609756</v>
      </c>
      <c r="E167" s="2">
        <v>16.097560975609756</v>
      </c>
      <c r="F167" s="2">
        <f t="shared" si="12"/>
        <v>17.987939641669865</v>
      </c>
    </row>
    <row r="168" spans="2:6" x14ac:dyDescent="0.3">
      <c r="B168" s="2">
        <f>SUM(B4:B167)</f>
        <v>123104903.55000003</v>
      </c>
      <c r="C168" s="2">
        <f>SUM(C4:C167)</f>
        <v>123104.90355000003</v>
      </c>
      <c r="D168" s="2">
        <f>SUM(D4:D167)</f>
        <v>150127.93115853655</v>
      </c>
      <c r="E168" s="2">
        <f>SUM(E4:E167)</f>
        <v>166452.99023170731</v>
      </c>
    </row>
  </sheetData>
  <mergeCells count="1"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Gabrielli</dc:creator>
  <cp:lastModifiedBy>Paolo Gabrielli</cp:lastModifiedBy>
  <dcterms:created xsi:type="dcterms:W3CDTF">2022-07-25T09:51:02Z</dcterms:created>
  <dcterms:modified xsi:type="dcterms:W3CDTF">2023-01-04T15:18:03Z</dcterms:modified>
</cp:coreProperties>
</file>